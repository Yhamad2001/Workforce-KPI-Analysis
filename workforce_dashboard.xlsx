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raed/Desktop/Workforce-KPI-Analysis/"/>
    </mc:Choice>
  </mc:AlternateContent>
  <xr:revisionPtr revIDLastSave="0" documentId="13_ncr:1_{A5283668-35EF-A644-A8E4-A88588F3E2AB}" xr6:coauthVersionLast="47" xr6:coauthVersionMax="47" xr10:uidLastSave="{00000000-0000-0000-0000-000000000000}"/>
  <bookViews>
    <workbookView xWindow="0" yWindow="0" windowWidth="28800" windowHeight="18000" activeTab="5" xr2:uid="{CB5F12B7-FA44-1B48-86F5-40F0204E28FF}"/>
  </bookViews>
  <sheets>
    <sheet name="Raw Data" sheetId="8" r:id="rId1"/>
    <sheet name="Debt Summary" sheetId="2" r:id="rId2"/>
    <sheet name="Attendance KPIs" sheetId="3" r:id="rId3"/>
    <sheet name="Overtime" sheetId="4" r:id="rId4"/>
    <sheet name="Performance" sheetId="5" r:id="rId5"/>
    <sheet name="Summary Dashboard" sheetId="6" r:id="rId6"/>
  </sheets>
  <definedNames>
    <definedName name="attendance_monthly" localSheetId="2">'Attendance KPIs'!$A$11:$D$20</definedName>
    <definedName name="attendance_summary" localSheetId="2">'Attendance KPIs'!$A$2:$H$6</definedName>
    <definedName name="attendance_summary" localSheetId="0">'Raw Data'!$A$14:$H$18</definedName>
    <definedName name="attendance_vs_performance" localSheetId="4">Performance!$A$36:$E$40</definedName>
    <definedName name="dept_headcount" localSheetId="1">'Debt Summary'!$A$2:$F$9</definedName>
    <definedName name="dept_headcount" localSheetId="0">'Raw Data'!$A$2:$A$9</definedName>
    <definedName name="dept_payroll" localSheetId="1">'Debt Summary'!$A$14:$B$19</definedName>
    <definedName name="executive_rollup_1" localSheetId="5">'Summary Dashboard'!$A$164:$F$169</definedName>
    <definedName name="overtime_departments" localSheetId="3">Overtime!$A$13:$C$16</definedName>
    <definedName name="overtime_employees" localSheetId="3">Overtime!$A$2:$F$8</definedName>
    <definedName name="overtime_employees" localSheetId="0">'Raw Data'!$A$23:$F$29</definedName>
    <definedName name="overtime_weekly" localSheetId="3">Overtime!$A$21:$C$29</definedName>
    <definedName name="performance_changes" localSheetId="4">Performance!$A$17:$G$31</definedName>
    <definedName name="performance_changes" localSheetId="0">'Raw Data'!$A$34:$G$48</definedName>
    <definedName name="performance_dept" localSheetId="4">Performance!$A$2:$D$12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J4" i="6"/>
  <c r="D4" i="6"/>
  <c r="Q1" i="6"/>
  <c r="I6" i="3"/>
  <c r="G4" i="4"/>
  <c r="G5" i="4"/>
  <c r="G6" i="4"/>
  <c r="G7" i="4"/>
  <c r="G8" i="4"/>
  <c r="G3" i="4"/>
  <c r="H4" i="3"/>
  <c r="I4" i="3" s="1"/>
  <c r="H3" i="3"/>
  <c r="I3" i="3" s="1"/>
  <c r="H18" i="8"/>
  <c r="H16" i="8"/>
  <c r="H17" i="8"/>
  <c r="H15" i="8"/>
  <c r="H5" i="3"/>
  <c r="I5" i="3" s="1"/>
  <c r="H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3EC4A-8B23-6D4C-B689-9E1616827031}" name="attendance_monthly" type="6" refreshedVersion="8" background="1" saveData="1">
    <textPr sourceFile="/Users/aburaed/Desktop/Workforce-KPI-Analysis/Excel Files/attendance_monthly.csv" comma="1">
      <textFields count="4">
        <textField/>
        <textField/>
        <textField/>
        <textField/>
      </textFields>
    </textPr>
  </connection>
  <connection id="2" xr16:uid="{7DCEF029-8693-C54A-B85D-09044959650C}" name="attendance_summary" type="6" refreshedVersion="8" background="1" saveData="1">
    <textPr sourceFile="/Users/aburaed/Desktop/Workforce-KPI-Analysis/Excel Files/attendance_summary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3D15DB88-76BD-7546-9C34-4656A5BB05E4}" name="attendance_summary1" type="6" refreshedVersion="8" background="1" saveData="1">
    <textPr sourceFile="/Users/aburaed/Desktop/Workforce-KPI-Analysis/Excel Files/attendance_summary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99B4FA11-0B07-F545-B658-A8481480BA28}" name="attendance_vs_performance" type="6" refreshedVersion="8" background="1" saveData="1">
    <textPr sourceFile="/Users/aburaed/Desktop/Workforce-KPI-Analysis/Excel Files/attendance_vs_performance.csv" comma="1">
      <textFields count="5">
        <textField/>
        <textField/>
        <textField/>
        <textField/>
        <textField/>
      </textFields>
    </textPr>
  </connection>
  <connection id="5" xr16:uid="{B05E265F-FF1E-0C45-B126-71288DC60EA9}" name="dept_headcount" type="6" refreshedVersion="8" background="1" saveData="1">
    <textPr sourceFile="/Users/aburaed/Desktop/Workforce-KPI-Analysis/Excel Files/dept_headcount.csv" comma="1">
      <textFields count="6">
        <textField/>
        <textField/>
        <textField/>
        <textField/>
        <textField/>
        <textField/>
      </textFields>
    </textPr>
  </connection>
  <connection id="6" xr16:uid="{A9480199-D09E-C249-BE9C-5D162E618DF2}" name="dept_headcount2" type="6" refreshedVersion="8" background="1" saveData="1">
    <textPr fileType="mac" sourceFile="/Users/aburaed/Desktop/Workforce-KPI-Analysis/Excel Files/dept_headcount.csv" delimited="0">
      <textFields>
        <textField/>
      </textFields>
    </textPr>
  </connection>
  <connection id="7" xr16:uid="{1466B342-F9DE-9B42-8FD7-B3DD8D06C809}" name="dept_payroll" type="6" refreshedVersion="8" background="1" saveData="1">
    <textPr sourceFile="/Users/aburaed/Desktop/Workforce-KPI-Analysis/Excel Files/dept_payroll.csv" comma="1">
      <textFields count="2">
        <textField/>
        <textField/>
      </textFields>
    </textPr>
  </connection>
  <connection id="8" xr16:uid="{BA87B7B4-EC03-5E47-B72E-2BADF6CCC940}" name="executive_rollup" type="6" refreshedVersion="8" background="1" saveData="1">
    <textPr sourceFile="/Users/aburaed/Desktop/Workforce-KPI-Analysis/Excel Files/executive_rollup.csv" comma="1">
      <textFields count="6">
        <textField/>
        <textField/>
        <textField/>
        <textField/>
        <textField/>
        <textField/>
      </textFields>
    </textPr>
  </connection>
  <connection id="9" xr16:uid="{F8C4672E-8A63-F74F-AE2C-3C7C7A73017A}" name="overtime_departments" type="6" refreshedVersion="8" background="1" saveData="1">
    <textPr sourceFile="/Users/aburaed/Desktop/Workforce-KPI-Analysis/Excel Files/overtime_departments.csv" comma="1">
      <textFields count="3">
        <textField/>
        <textField/>
        <textField/>
      </textFields>
    </textPr>
  </connection>
  <connection id="10" xr16:uid="{348F13F8-0DB5-9646-86A2-844BFB75CA19}" name="overtime_employees" type="6" refreshedVersion="8" background="1" saveData="1">
    <textPr sourceFile="/Users/aburaed/Desktop/Workforce-KPI-Analysis/Excel Files/overtime_employees.csv" comma="1">
      <textFields count="6">
        <textField/>
        <textField/>
        <textField/>
        <textField/>
        <textField/>
        <textField/>
      </textFields>
    </textPr>
  </connection>
  <connection id="11" xr16:uid="{B57085D5-94EF-C449-8055-E22828B3F59B}" name="overtime_employees1" type="6" refreshedVersion="8" background="1" saveData="1">
    <textPr sourceFile="/Users/aburaed/Desktop/Workforce-KPI-Analysis/Excel Files/overtime_employees.csv" comma="1">
      <textFields count="6">
        <textField/>
        <textField/>
        <textField/>
        <textField/>
        <textField/>
        <textField/>
      </textFields>
    </textPr>
  </connection>
  <connection id="12" xr16:uid="{F13D9C6C-AB55-3B4B-A482-31209B50D1B7}" name="overtime_weekly" type="6" refreshedVersion="8" background="1" saveData="1">
    <textPr sourceFile="/Users/aburaed/Desktop/Workforce-KPI-Analysis/Excel Files/overtime_weekly.csv" comma="1">
      <textFields count="3">
        <textField/>
        <textField/>
        <textField/>
      </textFields>
    </textPr>
  </connection>
  <connection id="13" xr16:uid="{E2DF3004-0D7F-F345-918B-4C107216B9FE}" name="performance_changes" type="6" refreshedVersion="8" background="1" saveData="1">
    <textPr sourceFile="/Users/aburaed/Desktop/Workforce-KPI-Analysis/Excel Files/performance_changes.csv" comma="1">
      <textFields count="7">
        <textField/>
        <textField/>
        <textField/>
        <textField/>
        <textField/>
        <textField/>
        <textField/>
      </textFields>
    </textPr>
  </connection>
  <connection id="14" xr16:uid="{EB7A22D7-C399-3646-8EAF-35C184AAD137}" name="performance_changes1" type="6" refreshedVersion="8" background="1" saveData="1">
    <textPr sourceFile="/Users/aburaed/Desktop/Workforce-KPI-Analysis/Excel Files/performance_changes.csv" comma="1">
      <textFields count="7">
        <textField/>
        <textField/>
        <textField/>
        <textField/>
        <textField/>
        <textField/>
        <textField/>
      </textFields>
    </textPr>
  </connection>
  <connection id="15" xr16:uid="{E04897FB-AC45-334B-8289-3038301B8A77}" name="performance_dept" type="6" refreshedVersion="8" background="1" saveData="1">
    <textPr sourceFile="/Users/aburaed/Desktop/Workforce-KPI-Analysis/Excel Files/performance_dept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<sst xmlns="http://schemas.openxmlformats.org/spreadsheetml/2006/main" count="326" uniqueCount="89">
  <si>
    <t>Employees</t>
  </si>
  <si>
    <t>Attendance</t>
  </si>
  <si>
    <t>Overtime</t>
  </si>
  <si>
    <t>department</t>
  </si>
  <si>
    <t>employment_type</t>
  </si>
  <si>
    <t>headcount</t>
  </si>
  <si>
    <t>avg_hourly_rate</t>
  </si>
  <si>
    <t>min_rate</t>
  </si>
  <si>
    <t>max_rate</t>
  </si>
  <si>
    <t>Dispatch</t>
  </si>
  <si>
    <t>Full-Time</t>
  </si>
  <si>
    <t>Finance</t>
  </si>
  <si>
    <t>HR</t>
  </si>
  <si>
    <t>Logistics</t>
  </si>
  <si>
    <t>Part-Time</t>
  </si>
  <si>
    <t>Operations</t>
  </si>
  <si>
    <t>employee_id</t>
  </si>
  <si>
    <t>full_name</t>
  </si>
  <si>
    <t>total_logged_days</t>
  </si>
  <si>
    <t>present_days</t>
  </si>
  <si>
    <t>absent_days</t>
  </si>
  <si>
    <t>late_days</t>
  </si>
  <si>
    <t>attendance_rate_pct</t>
  </si>
  <si>
    <t>Damon Price</t>
  </si>
  <si>
    <t>Layla Hassan</t>
  </si>
  <si>
    <t>James Osei</t>
  </si>
  <si>
    <t>Chloe Martin</t>
  </si>
  <si>
    <t>hourly_rate</t>
  </si>
  <si>
    <t>total_ot_hours</t>
  </si>
  <si>
    <t>total_ot_cost</t>
  </si>
  <si>
    <t>Priya Kapoor</t>
  </si>
  <si>
    <t>Kevin Adler</t>
  </si>
  <si>
    <t>Performance</t>
  </si>
  <si>
    <t>q1_score</t>
  </si>
  <si>
    <t>q2_score</t>
  </si>
  <si>
    <t>score_change</t>
  </si>
  <si>
    <t>trend</t>
  </si>
  <si>
    <t>Improved</t>
  </si>
  <si>
    <t>Sofia Nguyen</t>
  </si>
  <si>
    <t>Owen Murphy</t>
  </si>
  <si>
    <t>Andre Brooks</t>
  </si>
  <si>
    <t>Hannah Cole</t>
  </si>
  <si>
    <t>Tariq Saleh</t>
  </si>
  <si>
    <t>Amara Diallo</t>
  </si>
  <si>
    <t>Liam Cheng</t>
  </si>
  <si>
    <t>Fatima Al-Rashid</t>
  </si>
  <si>
    <t>Headcount by department &amp; type</t>
  </si>
  <si>
    <t>Estimated annual payroll by department</t>
  </si>
  <si>
    <t>estimated_annual_payroll</t>
  </si>
  <si>
    <t>status</t>
  </si>
  <si>
    <t>Attendance Summary Per Employee</t>
  </si>
  <si>
    <t>month</t>
  </si>
  <si>
    <t>absences</t>
  </si>
  <si>
    <t>late_arrivals</t>
  </si>
  <si>
    <t>2024-01</t>
  </si>
  <si>
    <t>2024-02</t>
  </si>
  <si>
    <t>2024-03</t>
  </si>
  <si>
    <t>Monthly Absence by Department</t>
  </si>
  <si>
    <t>Row Labels</t>
  </si>
  <si>
    <t>Grand Total</t>
  </si>
  <si>
    <t>Sum of absent_days</t>
  </si>
  <si>
    <t>Sum of late_days</t>
  </si>
  <si>
    <t>Average of attendance_rate_pct</t>
  </si>
  <si>
    <t>Overtime Per Employee</t>
  </si>
  <si>
    <t>dept_ot_hours</t>
  </si>
  <si>
    <t>dept_ot_cost</t>
  </si>
  <si>
    <t>Overtime Per Department</t>
  </si>
  <si>
    <t>ot_category</t>
  </si>
  <si>
    <t>week_start</t>
  </si>
  <si>
    <t>employees_with_ot</t>
  </si>
  <si>
    <t>Weekly Overtime Trend</t>
  </si>
  <si>
    <t>review_quarter</t>
  </si>
  <si>
    <t>avg_score</t>
  </si>
  <si>
    <t>reviews_completed</t>
  </si>
  <si>
    <t>Q1 2024</t>
  </si>
  <si>
    <t>Q2 2024</t>
  </si>
  <si>
    <t>Average Score By Department/Quarter</t>
  </si>
  <si>
    <t>Perfomance Score Change Per Employee</t>
  </si>
  <si>
    <t>avg_performance_score</t>
  </si>
  <si>
    <t>Attendance vs Performance</t>
  </si>
  <si>
    <t>avg_attendance_pct</t>
  </si>
  <si>
    <t>avg_perf_score</t>
  </si>
  <si>
    <t>NULL</t>
  </si>
  <si>
    <t>Workforce Operations KPI Dashboard - Q1/Q2 2024</t>
  </si>
  <si>
    <t>Total Headcount</t>
  </si>
  <si>
    <t xml:space="preserve"> Avg Attendance %</t>
  </si>
  <si>
    <t>Avg Perf Score</t>
  </si>
  <si>
    <t>Total OT Cost</t>
  </si>
  <si>
    <t>Depts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</si>
</sst>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\+0.00"/>
    <numFmt numFmtId="166" formatCode="yyyy\-mm\-dd;@"/>
    <numFmt numFmtId="167" formatCode="0.0"/>
    <numFmt numFmtId="168" formatCode="\+0.0"/>
  </numFmts>
  <fonts count="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1"/>
      <color rgb="FFFFFFFF"/>
      <name val="Arial"/>
      <family val="2"/>
    </font>
    <font>
      <sz val="12"/>
      <color theme="0"/>
      <name val="Aptos Narrow"/>
      <scheme val="minor"/>
    </font>
    <font>
      <b/>
      <sz val="13"/>
      <color theme="0"/>
      <name val="Aptos Narrow"/>
      <scheme val="minor"/>
    </font>
    <font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0061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pivotButton="1"/>
    <xf numFmtId="167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8" fontId="0" fillId="0" borderId="0" xfId="0" applyNumberFormat="1"/>
    <xf numFmtId="0" fontId="6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numFmt numFmtId="167" formatCode="0.0"/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5"/>
      </font>
    </dxf>
    <dxf>
      <font>
        <color theme="0"/>
      </font>
      <fill>
        <patternFill>
          <f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FF00"/>
      </font>
    </dxf>
    <dxf>
      <font>
        <color theme="9"/>
      </font>
    </dxf>
  </dxfs>
  <tableStyles count="0" defaultTableStyle="TableStyleMedium2" defaultPivotStyle="PivotStyleLight16"/>
  <colors>
    <mruColors>
      <color rgb="FF010061"/>
      <color rgb="FF000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'Debt Summary'!$C$2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'Debt Summary'!$A$3:$A$9</c:f>
              <c:strCache>
                <c:ptCount val="7"/>
                <c:pt idx="0">
                  <c:v>Dispatch</c:v>
                </c:pt>
                <c:pt idx="1">
                  <c:v>Finance</c:v>
                </c:pt>
                <c:pt idx="2">
                  <c:v>HR</c:v>
                </c:pt>
                <c:pt idx="3">
                  <c:v>Logistics</c:v>
                </c:pt>
                <c:pt idx="4">
                  <c:v>Logistics</c:v>
                </c:pt>
                <c:pt idx="5">
                  <c:v>Operations</c:v>
                </c:pt>
                <c:pt idx="6">
                  <c:v>Operations</c:v>
                </c:pt>
              </c:strCache>
            </c:strRef>
          </c:cat>
          <c:val>
            <c:numRef>
              <c:f>'Debt Summary'!$C$3:$C$9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5-7F41-B7D2-41567313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6495968"/>
        <c:axId val="366497680"/>
      </c:barChart>
      <c:catAx>
        <c:axId val="36649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97680"/>
        <c:crosses val="autoZero"/>
        <c:auto val="1"/>
        <c:lblAlgn val="ctr"/>
        <c:lblOffset val="100"/>
        <c:noMultiLvlLbl val="0"/>
      </c:catAx>
      <c:valAx>
        <c:axId val="36649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959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Annual Payroll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'Debt Summary'!$B$14</c:f>
              <c:strCache>
                <c:ptCount val="1"/>
                <c:pt idx="0">
                  <c:v>estimated_annual_payroll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6F9-A544-815B-B83FFBAD1D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F9-A544-815B-B83FFBAD1D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F9-A544-815B-B83FFBAD1D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6F9-A544-815B-B83FFBAD1D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FA-F040-8704-C21522F9BE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'Debt Summary'!$A$15:$A$19</c:f>
              <c:strCache>
                <c:ptCount val="5"/>
                <c:pt idx="0">
                  <c:v>Operations</c:v>
                </c:pt>
                <c:pt idx="1">
                  <c:v>Dispatch</c:v>
                </c:pt>
                <c:pt idx="2">
                  <c:v>Logistics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'Debt Summary'!$B$15:$B$19</c:f>
              <c:numCache>
                <c:formatCode>"$"#,##0.00</c:formatCode>
                <c:ptCount val="5"/>
                <c:pt idx="0">
                  <c:v>199420</c:v>
                </c:pt>
                <c:pt idx="1">
                  <c:v>177840</c:v>
                </c:pt>
                <c:pt idx="2">
                  <c:v>174720</c:v>
                </c:pt>
                <c:pt idx="3">
                  <c:v>125840</c:v>
                </c:pt>
                <c:pt idx="4">
                  <c:v>112320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9-A544-815B-B83FFBAD1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Absences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Logistics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'Attendance KPIs'!$C$15:$C$17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E5-2948-91B7-7E4304A1455F}"/>
            </c:ext>
          </c:extLst>
        </c:ser>
        <c:ser>
          <c:idx val="1"/>
          <c:order val="1"/>
          <c:tx>
            <c:v>Dispatch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'Attendance KPIs'!$B$12:$B$20</c:f>
              <c:strCache>
                <c:ptCount val="9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</c:strCache>
            </c:strRef>
          </c:cat>
          <c:val>
            <c:numRef>
              <c:f>'Attendance KPIs'!$C$12:$C$14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5-2948-91B7-7E4304A1455F}"/>
            </c:ext>
          </c:extLst>
        </c:ser>
        <c:ser>
          <c:idx val="0"/>
          <c:order val="2"/>
          <c:tx>
            <c:v>Operations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'Attendance KPIs'!$B$12:$B$20</c:f>
              <c:strCache>
                <c:ptCount val="9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</c:strCache>
            </c:strRef>
          </c:cat>
          <c:val>
            <c:numRef>
              <c:f>'Attendance KPIs'!$C$18:$C$20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5-2948-91B7-7E4304A14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028880"/>
        <c:axId val="551866176"/>
      </c:lineChart>
      <c:catAx>
        <c:axId val="31102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66176"/>
        <c:crosses val="autoZero"/>
        <c:auto val="1"/>
        <c:lblAlgn val="ctr"/>
        <c:lblOffset val="100"/>
        <c:noMultiLvlLbl val="0"/>
      </c:catAx>
      <c:valAx>
        <c:axId val="55186617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288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59001080747263"/>
          <c:y val="0.22599636583888549"/>
          <c:w val="0.17141014045541605"/>
          <c:h val="0.18544085835424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Hours &amp;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Overtime!$B$13</c:f>
              <c:strCache>
                <c:ptCount val="1"/>
                <c:pt idx="0">
                  <c:v>dept_ot_hours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Overtime!$A$14:$A$16</c:f>
              <c:strCache>
                <c:ptCount val="3"/>
                <c:pt idx="0">
                  <c:v>Logistics</c:v>
                </c:pt>
                <c:pt idx="1">
                  <c:v>Operations</c:v>
                </c:pt>
                <c:pt idx="2">
                  <c:v>Dispatch</c:v>
                </c:pt>
              </c:strCache>
            </c:strRef>
          </c:cat>
          <c:val>
            <c:numRef>
              <c:f>Overtime!$B$14:$B$16</c:f>
              <c:numCache>
                <c:formatCode>General</c:formatCode>
                <c:ptCount val="3"/>
                <c:pt idx="0">
                  <c:v>37.5</c:v>
                </c:pt>
                <c:pt idx="1">
                  <c:v>28.5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8-F244-943F-145798CDF9EF}"/>
            </c:ext>
          </c:extLst>
        </c:ser>
        <c:ser>
          <c:idx val="1"/>
          <c:order val="1"/>
          <c:tx>
            <c:strRef>
              <c:f>Overtime!$C$13</c:f>
              <c:strCache>
                <c:ptCount val="1"/>
                <c:pt idx="0">
                  <c:v>dept_ot_cost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Overtime!$A$14:$A$16</c:f>
              <c:strCache>
                <c:ptCount val="3"/>
                <c:pt idx="0">
                  <c:v>Logistics</c:v>
                </c:pt>
                <c:pt idx="1">
                  <c:v>Operations</c:v>
                </c:pt>
                <c:pt idx="2">
                  <c:v>Dispatch</c:v>
                </c:pt>
              </c:strCache>
            </c:strRef>
          </c:cat>
          <c:val>
            <c:numRef>
              <c:f>Overtime!$C$14:$C$16</c:f>
              <c:numCache>
                <c:formatCode>"$"#,##0.00</c:formatCode>
                <c:ptCount val="3"/>
                <c:pt idx="0">
                  <c:v>1300.5</c:v>
                </c:pt>
                <c:pt idx="1">
                  <c:v>930.38</c:v>
                </c:pt>
                <c:pt idx="2">
                  <c:v>643.88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8-F244-943F-145798CD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1"/>
        <c:axId val="336970896"/>
        <c:axId val="339929728"/>
      </c:barChart>
      <c:catAx>
        <c:axId val="33697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29728"/>
        <c:crosses val="autoZero"/>
        <c:auto val="1"/>
        <c:lblAlgn val="ctr"/>
        <c:lblOffset val="100"/>
        <c:noMultiLvlLbl val="0"/>
      </c:catAx>
      <c:valAx>
        <c:axId val="3399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708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Overtime Hours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Overtime!$C$21</c:f>
              <c:strCache>
                <c:ptCount val="1"/>
                <c:pt idx="0">
                  <c:v>total_ot_hours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Overtime!$A$22:$A$29</c:f>
              <c:numCache>
                <c:formatCode>m/d/yy</c:formatCode>
                <c:ptCount val="8"/>
                <c:pt idx="0">
                  <c:v>45299</c:v>
                </c:pt>
                <c:pt idx="1">
                  <c:v>45306</c:v>
                </c:pt>
                <c:pt idx="2">
                  <c:v>45313</c:v>
                </c:pt>
                <c:pt idx="3">
                  <c:v>45327</c:v>
                </c:pt>
                <c:pt idx="4">
                  <c:v>45334</c:v>
                </c:pt>
                <c:pt idx="5">
                  <c:v>45341</c:v>
                </c:pt>
                <c:pt idx="6">
                  <c:v>45355</c:v>
                </c:pt>
                <c:pt idx="7">
                  <c:v>45362</c:v>
                </c:pt>
              </c:numCache>
            </c:numRef>
          </c:cat>
          <c:val>
            <c:numRef>
              <c:f>Overtime!$C$22:$C$29</c:f>
              <c:numCache>
                <c:formatCode>General</c:formatCode>
                <c:ptCount val="8"/>
                <c:pt idx="0">
                  <c:v>19</c:v>
                </c:pt>
                <c:pt idx="1">
                  <c:v>11</c:v>
                </c:pt>
                <c:pt idx="2">
                  <c:v>2</c:v>
                </c:pt>
                <c:pt idx="3">
                  <c:v>16.5</c:v>
                </c:pt>
                <c:pt idx="4">
                  <c:v>7.5</c:v>
                </c:pt>
                <c:pt idx="5">
                  <c:v>4.5</c:v>
                </c:pt>
                <c:pt idx="6">
                  <c:v>15</c:v>
                </c:pt>
                <c:pt idx="7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B-BB43-A446-9EEC85D8E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083376"/>
        <c:axId val="552585680"/>
      </c:lineChart>
      <c:dateAx>
        <c:axId val="56208337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85680"/>
        <c:crosses val="autoZero"/>
        <c:auto val="1"/>
        <c:lblOffset val="100"/>
        <c:baseTimeUnit val="days"/>
      </c:dateAx>
      <c:valAx>
        <c:axId val="5525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8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Score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Performance!$C$2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Performance!$A$3:$B$12</c:f>
              <c:multiLvlStrCache>
                <c:ptCount val="10"/>
                <c:lvl>
                  <c:pt idx="0">
                    <c:v>Q1 2024</c:v>
                  </c:pt>
                  <c:pt idx="1">
                    <c:v>Q2 2024</c:v>
                  </c:pt>
                  <c:pt idx="2">
                    <c:v>Q1 2024</c:v>
                  </c:pt>
                  <c:pt idx="3">
                    <c:v>Q2 2024</c:v>
                  </c:pt>
                  <c:pt idx="4">
                    <c:v>Q1 2024</c:v>
                  </c:pt>
                  <c:pt idx="5">
                    <c:v>Q2 2024</c:v>
                  </c:pt>
                  <c:pt idx="6">
                    <c:v>Q1 2024</c:v>
                  </c:pt>
                  <c:pt idx="7">
                    <c:v>Q2 2024</c:v>
                  </c:pt>
                  <c:pt idx="8">
                    <c:v>Q1 2024</c:v>
                  </c:pt>
                  <c:pt idx="9">
                    <c:v>Q2 2024</c:v>
                  </c:pt>
                </c:lvl>
                <c:lvl>
                  <c:pt idx="0">
                    <c:v>Dispatch</c:v>
                  </c:pt>
                  <c:pt idx="1">
                    <c:v>Dispatch</c:v>
                  </c:pt>
                  <c:pt idx="2">
                    <c:v>Finance</c:v>
                  </c:pt>
                  <c:pt idx="3">
                    <c:v>Finance</c:v>
                  </c:pt>
                  <c:pt idx="4">
                    <c:v>HR</c:v>
                  </c:pt>
                  <c:pt idx="5">
                    <c:v>HR</c:v>
                  </c:pt>
                  <c:pt idx="6">
                    <c:v>Logistics</c:v>
                  </c:pt>
                  <c:pt idx="7">
                    <c:v>Logistics</c:v>
                  </c:pt>
                  <c:pt idx="8">
                    <c:v>Operations</c:v>
                  </c:pt>
                  <c:pt idx="9">
                    <c:v>Operations</c:v>
                  </c:pt>
                </c:lvl>
              </c:multiLvlStrCache>
            </c:multiLvlStrRef>
          </c:cat>
          <c:val>
            <c:numRef>
              <c:f>Performance!$C$3:$C$12</c:f>
              <c:numCache>
                <c:formatCode>General</c:formatCode>
                <c:ptCount val="10"/>
                <c:pt idx="0">
                  <c:v>4.03</c:v>
                </c:pt>
                <c:pt idx="1">
                  <c:v>4.2699999999999996</c:v>
                </c:pt>
                <c:pt idx="2">
                  <c:v>3.75</c:v>
                </c:pt>
                <c:pt idx="3">
                  <c:v>4</c:v>
                </c:pt>
                <c:pt idx="4">
                  <c:v>4</c:v>
                </c:pt>
                <c:pt idx="5">
                  <c:v>4.2</c:v>
                </c:pt>
                <c:pt idx="6">
                  <c:v>3.58</c:v>
                </c:pt>
                <c:pt idx="7">
                  <c:v>3.83</c:v>
                </c:pt>
                <c:pt idx="8">
                  <c:v>3.8</c:v>
                </c:pt>
                <c:pt idx="9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A-9E42-83D9-6729D7A06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049040"/>
        <c:axId val="340608080"/>
      </c:barChart>
      <c:catAx>
        <c:axId val="15004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608080"/>
        <c:crosses val="autoZero"/>
        <c:auto val="1"/>
        <c:lblAlgn val="ctr"/>
        <c:lblOffset val="100"/>
        <c:noMultiLvlLbl val="0"/>
      </c:catAx>
      <c:valAx>
        <c:axId val="3406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Rate vs. Performance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Performance!$E$36</c:f>
              <c:strCache>
                <c:ptCount val="1"/>
                <c:pt idx="0">
                  <c:v>avg_performance_score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Performance!$D$37:$D$40</c:f>
              <c:numCache>
                <c:formatCode>0.00</c:formatCode>
                <c:ptCount val="4"/>
                <c:pt idx="0">
                  <c:v>66.7</c:v>
                </c:pt>
                <c:pt idx="1">
                  <c:v>80</c:v>
                </c:pt>
                <c:pt idx="2">
                  <c:v>93.33</c:v>
                </c:pt>
                <c:pt idx="3">
                  <c:v>100</c:v>
                </c:pt>
              </c:numCache>
            </c:numRef>
          </c:xVal>
          <c:yVal>
            <c:numRef>
              <c:f>Performance!$E$37:$E$40</c:f>
              <c:numCache>
                <c:formatCode>0.00</c:formatCode>
                <c:ptCount val="4"/>
                <c:pt idx="0">
                  <c:v>4.5</c:v>
                </c:pt>
                <c:pt idx="1">
                  <c:v>3.95</c:v>
                </c:pt>
                <c:pt idx="2">
                  <c:v>3.6</c:v>
                </c:pt>
                <c:pt idx="3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2-454E-93D3-89E310360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093984"/>
        <c:axId val="84022064"/>
      </c:scatterChart>
      <c:valAx>
        <c:axId val="3320939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2064"/>
        <c:crosses val="autoZero"/>
        <c:crossBetween val="midCat"/>
      </c:valAx>
      <c:valAx>
        <c:axId val="8402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9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6350</xdr:rowOff>
    </xdr:from>
    <xdr:to>
      <xdr:col>18</xdr:col>
      <xdr:colOff>25400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ED13B-6383-9043-E252-04534AE5F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19</xdr:row>
      <xdr:rowOff>6350</xdr:rowOff>
    </xdr:from>
    <xdr:to>
      <xdr:col>18</xdr:col>
      <xdr:colOff>25400</xdr:colOff>
      <xdr:row>36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1E934-A8E6-079C-EA19-0FB10BA62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9</xdr:row>
      <xdr:rowOff>12700</xdr:rowOff>
    </xdr:from>
    <xdr:to>
      <xdr:col>9</xdr:col>
      <xdr:colOff>25400</xdr:colOff>
      <xdr:row>26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3C21DE-878D-F7D7-6405-60CD503A1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6350</xdr:rowOff>
    </xdr:from>
    <xdr:to>
      <xdr:col>14</xdr:col>
      <xdr:colOff>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EC4BE2-63A0-8660-F395-706846693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18</xdr:row>
      <xdr:rowOff>6350</xdr:rowOff>
    </xdr:from>
    <xdr:to>
      <xdr:col>14</xdr:col>
      <xdr:colOff>0</xdr:colOff>
      <xdr:row>32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DA1E44-DBED-A2E4-6132-2541019C7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19050</xdr:rowOff>
    </xdr:from>
    <xdr:to>
      <xdr:col>17</xdr:col>
      <xdr:colOff>12700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C50A9-2E74-BCC8-5C8A-D0FAA87A5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15</xdr:row>
      <xdr:rowOff>6350</xdr:rowOff>
    </xdr:from>
    <xdr:to>
      <xdr:col>17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94AF95-7F6A-750C-D23C-0440CFB72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</xdr:row>
      <xdr:rowOff>241300</xdr:rowOff>
    </xdr:from>
    <xdr:to>
      <xdr:col>6</xdr:col>
      <xdr:colOff>571500</xdr:colOff>
      <xdr:row>20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4FE72-CC85-D3B6-CEEC-FC0248E01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447800"/>
          <a:ext cx="54737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</xdr:row>
      <xdr:rowOff>127000</xdr:rowOff>
    </xdr:from>
    <xdr:to>
      <xdr:col>6</xdr:col>
      <xdr:colOff>558800</xdr:colOff>
      <xdr:row>24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2E7926-D5B5-71FD-5071-E740D62F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97500"/>
          <a:ext cx="5435600" cy="939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14</xdr:col>
      <xdr:colOff>7208</xdr:colOff>
      <xdr:row>20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72214B-CD7A-8F69-0FF9-91BDBBD69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500" y="1460500"/>
          <a:ext cx="5785708" cy="382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127000</xdr:rowOff>
    </xdr:from>
    <xdr:to>
      <xdr:col>14</xdr:col>
      <xdr:colOff>12700</xdr:colOff>
      <xdr:row>30</xdr:row>
      <xdr:rowOff>47171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BAB0C0-0139-44BE-57C7-B7C08CF1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500" y="5397500"/>
          <a:ext cx="5791200" cy="246017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ef Hamad" refreshedDate="46164.752322685184" createdVersion="8" refreshedVersion="8" minRefreshableVersion="3" recordCount="4" xr:uid="{B45909A0-F9B5-5840-AA0B-DE5859DDF5C5}">
  <cacheSource type="worksheet">
    <worksheetSource ref="A2:I6" sheet="Attendance KPIs"/>
  </cacheSource>
  <cacheFields count="9">
    <cacheField name="employee_id" numFmtId="0">
      <sharedItems containsSemiMixedTypes="0" containsString="0" containsNumber="1" containsInteger="1" minValue="1002" maxValue="1010"/>
    </cacheField>
    <cacheField name="full_name" numFmtId="0">
      <sharedItems/>
    </cacheField>
    <cacheField name="department" numFmtId="0">
      <sharedItems count="3">
        <s v="Operations"/>
        <s v="Logistics"/>
        <s v="Dispatch"/>
      </sharedItems>
    </cacheField>
    <cacheField name="total_logged_days" numFmtId="0">
      <sharedItems containsSemiMixedTypes="0" containsString="0" containsNumber="1" containsInteger="1" minValue="15" maxValue="15"/>
    </cacheField>
    <cacheField name="present_days" numFmtId="0">
      <sharedItems containsSemiMixedTypes="0" containsString="0" containsNumber="1" containsInteger="1" minValue="10" maxValue="15"/>
    </cacheField>
    <cacheField name="absent_days" numFmtId="0">
      <sharedItems containsSemiMixedTypes="0" containsString="0" containsNumber="1" containsInteger="1" minValue="0" maxValue="2"/>
    </cacheField>
    <cacheField name="late_days" numFmtId="0">
      <sharedItems containsSemiMixedTypes="0" containsString="0" containsNumber="1" containsInteger="1" minValue="0" maxValue="3"/>
    </cacheField>
    <cacheField name="attendance_rate_pct" numFmtId="2">
      <sharedItems containsSemiMixedTypes="0" containsString="0" containsNumber="1" minValue="66.666666666666657" maxValue="1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003"/>
    <s v="Damon Price"/>
    <x v="0"/>
    <n v="15"/>
    <n v="10"/>
    <n v="2"/>
    <n v="3"/>
    <n v="66.666666666666657"/>
    <s v="⚠ REVIEW"/>
  </r>
  <r>
    <n v="1002"/>
    <s v="Layla Hassan"/>
    <x v="0"/>
    <n v="15"/>
    <n v="12"/>
    <n v="1"/>
    <n v="2"/>
    <n v="80"/>
    <s v="Monitor"/>
  </r>
  <r>
    <n v="1007"/>
    <s v="James Osei"/>
    <x v="1"/>
    <n v="15"/>
    <n v="14"/>
    <n v="0"/>
    <n v="1"/>
    <n v="93.333333333333329"/>
    <s v="✓ Good"/>
  </r>
  <r>
    <n v="1010"/>
    <s v="Chloe Martin"/>
    <x v="2"/>
    <n v="15"/>
    <n v="15"/>
    <n v="0"/>
    <n v="0"/>
    <n v="100"/>
    <s v="✓ 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900EA-4340-A144-9315-3C0A08809C9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N5" firstHeaderRow="0" firstDataRow="1" firstDataCol="1"/>
  <pivotFields count="9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dataField="1" showAll="0"/>
    <pivotField dataField="1" numFmtId="2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bsent_days" fld="5" baseField="0" baseItem="0"/>
    <dataField name="Sum of late_days" fld="6" baseField="0" baseItem="0"/>
    <dataField name="Average of attendance_rate_pct" fld="7" subtotal="average" baseField="0" baseItem="0" numFmtId="167"/>
  </dataFields>
  <formats count="1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5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formance_changes" connectionId="13" xr16:uid="{3A0DC4F2-62FB-DC4E-A93B-67A523B4FF6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ertime_employees" connectionId="10" xr16:uid="{B6CCE0A3-5F5D-1146-9103-F6C7C149A4C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ttendance_summary" connectionId="2" xr16:uid="{16FA65F4-10B0-E34F-A0A4-56687E6145AF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t_headcount" connectionId="6" xr16:uid="{845BFDCF-EA3A-2648-99F4-51865E2DFFA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t_payroll" connectionId="7" xr16:uid="{7A016F44-BEE4-D543-BC37-C8C26A89B6C4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t_headcount" connectionId="5" xr16:uid="{7D1B4E66-2394-D840-A536-2448EE8E6548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ttendance_monthly" connectionId="1" xr16:uid="{1D4742B9-519E-2143-87EA-72C4CAC23851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ttendance_summary" connectionId="3" xr16:uid="{9F4F8F6A-16D2-5B49-B47D-B4B541AEBEDA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ertime_weekly" connectionId="12" xr16:uid="{EEB95626-0043-4F46-8086-89D166384C68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ertime_departments" connectionId="9" xr16:uid="{960DB595-5649-C94F-8275-E013B76D8EC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ertime_employees" connectionId="11" xr16:uid="{979B715E-1081-D845-AFE0-22C9633CE4DD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formance_dept" connectionId="15" xr16:uid="{2380739D-1C59-0844-B83A-F3EC06EAF22F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ttendance_vs_performance" connectionId="4" xr16:uid="{E84592CC-5C97-AD46-870A-5E63078BA636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formance_changes" connectionId="14" xr16:uid="{2A366655-3394-7046-84A1-267F5AB3798C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ecutive_rollup_1" connectionId="8" xr16:uid="{15FC133C-4EA2-F84E-B9BE-1766FA1B20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3.xml"/><Relationship Id="rId4" Type="http://schemas.openxmlformats.org/officeDocument/2006/relationships/queryTable" Target="../queryTables/query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drawing" Target="../drawings/drawing4.xml"/><Relationship Id="rId4" Type="http://schemas.openxmlformats.org/officeDocument/2006/relationships/queryTable" Target="../queryTables/queryTable1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3121-EC13-EE40-93F8-F5177C9A6DF3}">
  <dimension ref="A1:L48"/>
  <sheetViews>
    <sheetView topLeftCell="A13" zoomScale="94" zoomScaleNormal="80" workbookViewId="0">
      <selection activeCell="I24" sqref="I24"/>
    </sheetView>
  </sheetViews>
  <sheetFormatPr baseColWidth="10" defaultRowHeight="16" x14ac:dyDescent="0.2"/>
  <cols>
    <col min="1" max="1" width="11.5" style="1" bestFit="1" customWidth="1"/>
    <col min="2" max="2" width="15.5" style="1" bestFit="1" customWidth="1"/>
    <col min="3" max="3" width="10.6640625" style="1" bestFit="1" customWidth="1"/>
    <col min="4" max="4" width="15.5" style="1" bestFit="1" customWidth="1"/>
    <col min="5" max="5" width="12.83203125" style="1" bestFit="1" customWidth="1"/>
    <col min="6" max="6" width="12.33203125" style="1" bestFit="1" customWidth="1"/>
    <col min="7" max="7" width="8.83203125" style="1" bestFit="1" customWidth="1"/>
    <col min="8" max="8" width="18.33203125" style="1" bestFit="1" customWidth="1"/>
    <col min="9" max="12" width="10.83203125" style="1"/>
  </cols>
  <sheetData>
    <row r="1" spans="1:8" x14ac:dyDescent="0.2">
      <c r="A1" s="23" t="s">
        <v>0</v>
      </c>
      <c r="B1" s="23"/>
      <c r="C1" s="23"/>
      <c r="D1" s="23"/>
      <c r="E1" s="23"/>
      <c r="F1" s="23"/>
      <c r="G1" s="5"/>
      <c r="H1" s="5"/>
    </row>
    <row r="2" spans="1:8" x14ac:dyDescent="0.2">
      <c r="A2" s="19" t="s">
        <v>3</v>
      </c>
      <c r="B2" s="19" t="s">
        <v>4</v>
      </c>
      <c r="C2" s="19" t="s">
        <v>5</v>
      </c>
      <c r="D2" s="19" t="s">
        <v>6</v>
      </c>
      <c r="E2" s="19" t="s">
        <v>7</v>
      </c>
      <c r="F2" s="19" t="s">
        <v>8</v>
      </c>
      <c r="G2" s="5"/>
      <c r="H2" s="5"/>
    </row>
    <row r="3" spans="1:8" x14ac:dyDescent="0.2">
      <c r="A3" s="1" t="s">
        <v>9</v>
      </c>
      <c r="B3" s="1" t="s">
        <v>10</v>
      </c>
      <c r="C3" s="1">
        <v>3</v>
      </c>
      <c r="D3" s="4">
        <v>28.5</v>
      </c>
      <c r="E3" s="4">
        <v>23.5</v>
      </c>
      <c r="F3" s="4">
        <v>38</v>
      </c>
      <c r="G3" s="5"/>
      <c r="H3" s="5"/>
    </row>
    <row r="4" spans="1:8" x14ac:dyDescent="0.2">
      <c r="A4" s="1" t="s">
        <v>11</v>
      </c>
      <c r="B4" s="1" t="s">
        <v>10</v>
      </c>
      <c r="C4" s="1">
        <v>2</v>
      </c>
      <c r="D4" s="4">
        <v>30.25</v>
      </c>
      <c r="E4" s="4">
        <v>26.5</v>
      </c>
      <c r="F4" s="4">
        <v>34</v>
      </c>
      <c r="G4" s="5"/>
      <c r="H4" s="5"/>
    </row>
    <row r="5" spans="1:8" x14ac:dyDescent="0.2">
      <c r="A5" s="1" t="s">
        <v>12</v>
      </c>
      <c r="B5" s="1" t="s">
        <v>10</v>
      </c>
      <c r="C5" s="1">
        <v>2</v>
      </c>
      <c r="D5" s="4">
        <v>27</v>
      </c>
      <c r="E5" s="4">
        <v>25</v>
      </c>
      <c r="F5" s="4">
        <v>29</v>
      </c>
      <c r="G5" s="5"/>
      <c r="H5" s="5"/>
    </row>
    <row r="6" spans="1:8" x14ac:dyDescent="0.2">
      <c r="A6" s="1" t="s">
        <v>13</v>
      </c>
      <c r="B6" s="1" t="s">
        <v>10</v>
      </c>
      <c r="C6" s="1">
        <v>3</v>
      </c>
      <c r="D6" s="4">
        <v>25</v>
      </c>
      <c r="E6" s="4">
        <v>18</v>
      </c>
      <c r="F6" s="4">
        <v>30</v>
      </c>
      <c r="G6" s="5"/>
      <c r="H6" s="5"/>
    </row>
    <row r="7" spans="1:8" x14ac:dyDescent="0.2">
      <c r="A7" s="1" t="s">
        <v>13</v>
      </c>
      <c r="B7" s="1" t="s">
        <v>14</v>
      </c>
      <c r="C7" s="1">
        <v>1</v>
      </c>
      <c r="D7" s="4">
        <v>18</v>
      </c>
      <c r="E7" s="4">
        <v>18</v>
      </c>
      <c r="F7" s="4">
        <v>18</v>
      </c>
      <c r="G7" s="5"/>
      <c r="H7" s="5"/>
    </row>
    <row r="8" spans="1:8" x14ac:dyDescent="0.2">
      <c r="A8" s="1" t="s">
        <v>15</v>
      </c>
      <c r="B8" s="1" t="s">
        <v>10</v>
      </c>
      <c r="C8" s="1">
        <v>3</v>
      </c>
      <c r="D8" s="4">
        <v>28.67</v>
      </c>
      <c r="E8" s="4">
        <v>21.5</v>
      </c>
      <c r="F8" s="4">
        <v>42.5</v>
      </c>
      <c r="G8" s="5"/>
      <c r="H8" s="5"/>
    </row>
    <row r="9" spans="1:8" x14ac:dyDescent="0.2">
      <c r="A9" s="1" t="s">
        <v>15</v>
      </c>
      <c r="B9" s="1" t="s">
        <v>14</v>
      </c>
      <c r="C9" s="1">
        <v>1</v>
      </c>
      <c r="D9" s="4">
        <v>19.75</v>
      </c>
      <c r="E9" s="4">
        <v>19.75</v>
      </c>
      <c r="F9" s="4">
        <v>19.75</v>
      </c>
      <c r="G9" s="5"/>
      <c r="H9" s="5"/>
    </row>
    <row r="10" spans="1:8" x14ac:dyDescent="0.2">
      <c r="A10"/>
      <c r="B10"/>
      <c r="C10"/>
      <c r="D10"/>
      <c r="E10"/>
      <c r="F10"/>
      <c r="G10"/>
      <c r="H10"/>
    </row>
    <row r="11" spans="1:8" x14ac:dyDescent="0.2">
      <c r="A11"/>
      <c r="B11"/>
      <c r="C11"/>
      <c r="D11"/>
      <c r="E11"/>
      <c r="F11"/>
      <c r="G11"/>
      <c r="H11"/>
    </row>
    <row r="12" spans="1:8" x14ac:dyDescent="0.2">
      <c r="A12"/>
      <c r="B12"/>
      <c r="C12"/>
      <c r="D12"/>
      <c r="E12"/>
      <c r="F12"/>
      <c r="G12"/>
      <c r="H12"/>
    </row>
    <row r="13" spans="1:8" x14ac:dyDescent="0.2">
      <c r="A13" s="23" t="s">
        <v>1</v>
      </c>
      <c r="B13" s="23"/>
      <c r="C13" s="23"/>
      <c r="D13" s="23"/>
      <c r="E13" s="23"/>
      <c r="F13" s="23"/>
      <c r="G13" s="23"/>
      <c r="H13" s="23"/>
    </row>
    <row r="14" spans="1:8" x14ac:dyDescent="0.2">
      <c r="A14" s="19" t="s">
        <v>16</v>
      </c>
      <c r="B14" s="19" t="s">
        <v>17</v>
      </c>
      <c r="C14" s="19" t="s">
        <v>3</v>
      </c>
      <c r="D14" s="19" t="s">
        <v>18</v>
      </c>
      <c r="E14" s="19" t="s">
        <v>19</v>
      </c>
      <c r="F14" s="19" t="s">
        <v>20</v>
      </c>
      <c r="G14" s="19" t="s">
        <v>21</v>
      </c>
      <c r="H14" s="19" t="s">
        <v>22</v>
      </c>
    </row>
    <row r="15" spans="1:8" x14ac:dyDescent="0.2">
      <c r="A15" s="1">
        <v>1003</v>
      </c>
      <c r="B15" s="1" t="s">
        <v>23</v>
      </c>
      <c r="C15" s="1" t="s">
        <v>15</v>
      </c>
      <c r="D15" s="1">
        <v>15</v>
      </c>
      <c r="E15" s="1">
        <v>10</v>
      </c>
      <c r="F15" s="1">
        <v>2</v>
      </c>
      <c r="G15" s="1">
        <v>3</v>
      </c>
      <c r="H15" s="12">
        <f>(E15/D15)*100</f>
        <v>66.666666666666657</v>
      </c>
    </row>
    <row r="16" spans="1:8" x14ac:dyDescent="0.2">
      <c r="A16" s="1">
        <v>1002</v>
      </c>
      <c r="B16" s="1" t="s">
        <v>24</v>
      </c>
      <c r="C16" s="1" t="s">
        <v>15</v>
      </c>
      <c r="D16" s="1">
        <v>15</v>
      </c>
      <c r="E16" s="1">
        <v>12</v>
      </c>
      <c r="F16" s="1">
        <v>1</v>
      </c>
      <c r="G16" s="1">
        <v>2</v>
      </c>
      <c r="H16" s="12">
        <f t="shared" ref="H16:H17" si="0">(E16/D16)*100</f>
        <v>80</v>
      </c>
    </row>
    <row r="17" spans="1:8" x14ac:dyDescent="0.2">
      <c r="A17" s="1">
        <v>1007</v>
      </c>
      <c r="B17" s="1" t="s">
        <v>25</v>
      </c>
      <c r="C17" s="1" t="s">
        <v>13</v>
      </c>
      <c r="D17" s="1">
        <v>15</v>
      </c>
      <c r="E17" s="1">
        <v>14</v>
      </c>
      <c r="F17" s="1">
        <v>0</v>
      </c>
      <c r="G17" s="1">
        <v>1</v>
      </c>
      <c r="H17" s="12">
        <f t="shared" si="0"/>
        <v>93.333333333333329</v>
      </c>
    </row>
    <row r="18" spans="1:8" x14ac:dyDescent="0.2">
      <c r="A18" s="1">
        <v>1010</v>
      </c>
      <c r="B18" s="1" t="s">
        <v>26</v>
      </c>
      <c r="C18" s="1" t="s">
        <v>9</v>
      </c>
      <c r="D18" s="1">
        <v>15</v>
      </c>
      <c r="E18" s="1">
        <v>15</v>
      </c>
      <c r="F18" s="1">
        <v>0</v>
      </c>
      <c r="G18" s="1">
        <v>0</v>
      </c>
      <c r="H18" s="12">
        <f>(E18/D18)*100</f>
        <v>100</v>
      </c>
    </row>
    <row r="19" spans="1:8" x14ac:dyDescent="0.2">
      <c r="A19"/>
      <c r="B19"/>
      <c r="C19"/>
      <c r="D19"/>
      <c r="E19"/>
      <c r="F19"/>
      <c r="G19"/>
      <c r="H19"/>
    </row>
    <row r="20" spans="1:8" x14ac:dyDescent="0.2">
      <c r="A20"/>
      <c r="B20"/>
      <c r="C20"/>
      <c r="D20"/>
      <c r="E20"/>
      <c r="F20"/>
      <c r="G20"/>
      <c r="H20"/>
    </row>
    <row r="21" spans="1:8" x14ac:dyDescent="0.2">
      <c r="A21"/>
      <c r="B21"/>
      <c r="C21"/>
      <c r="D21"/>
      <c r="E21"/>
      <c r="F21"/>
      <c r="G21"/>
      <c r="H21"/>
    </row>
    <row r="22" spans="1:8" x14ac:dyDescent="0.2">
      <c r="A22" s="23" t="s">
        <v>2</v>
      </c>
      <c r="B22" s="23"/>
      <c r="C22" s="23"/>
      <c r="D22" s="23"/>
      <c r="E22" s="23"/>
      <c r="F22" s="23"/>
      <c r="G22" s="5"/>
      <c r="H22" s="5"/>
    </row>
    <row r="23" spans="1:8" x14ac:dyDescent="0.2">
      <c r="A23" s="19" t="s">
        <v>16</v>
      </c>
      <c r="B23" s="19" t="s">
        <v>17</v>
      </c>
      <c r="C23" s="19" t="s">
        <v>3</v>
      </c>
      <c r="D23" s="19" t="s">
        <v>27</v>
      </c>
      <c r="E23" s="19" t="s">
        <v>28</v>
      </c>
      <c r="F23" s="19" t="s">
        <v>29</v>
      </c>
      <c r="G23" s="6"/>
      <c r="H23" s="8"/>
    </row>
    <row r="24" spans="1:8" x14ac:dyDescent="0.2">
      <c r="A24" s="1">
        <v>1007</v>
      </c>
      <c r="B24" s="1" t="s">
        <v>25</v>
      </c>
      <c r="C24" s="1" t="s">
        <v>13</v>
      </c>
      <c r="D24" s="4">
        <v>18</v>
      </c>
      <c r="E24" s="1">
        <v>21.5</v>
      </c>
      <c r="F24" s="4">
        <v>580.5</v>
      </c>
    </row>
    <row r="25" spans="1:8" x14ac:dyDescent="0.2">
      <c r="A25" s="1">
        <v>1006</v>
      </c>
      <c r="B25" s="1" t="s">
        <v>30</v>
      </c>
      <c r="C25" s="1" t="s">
        <v>13</v>
      </c>
      <c r="D25" s="4">
        <v>30</v>
      </c>
      <c r="E25" s="1">
        <v>16</v>
      </c>
      <c r="F25" s="4">
        <v>720</v>
      </c>
    </row>
    <row r="26" spans="1:8" x14ac:dyDescent="0.2">
      <c r="A26" s="1">
        <v>1002</v>
      </c>
      <c r="B26" s="1" t="s">
        <v>24</v>
      </c>
      <c r="C26" s="1" t="s">
        <v>15</v>
      </c>
      <c r="D26" s="4">
        <v>22</v>
      </c>
      <c r="E26" s="1">
        <v>15</v>
      </c>
      <c r="F26" s="4">
        <v>495</v>
      </c>
    </row>
    <row r="27" spans="1:8" x14ac:dyDescent="0.2">
      <c r="A27" s="1">
        <v>1003</v>
      </c>
      <c r="B27" s="1" t="s">
        <v>23</v>
      </c>
      <c r="C27" s="1" t="s">
        <v>15</v>
      </c>
      <c r="D27" s="4">
        <v>21.5</v>
      </c>
      <c r="E27" s="1">
        <v>13.5</v>
      </c>
      <c r="F27" s="4">
        <v>435.38</v>
      </c>
    </row>
    <row r="28" spans="1:8" x14ac:dyDescent="0.2">
      <c r="A28" s="1">
        <v>1010</v>
      </c>
      <c r="B28" s="1" t="s">
        <v>26</v>
      </c>
      <c r="C28" s="1" t="s">
        <v>9</v>
      </c>
      <c r="D28" s="4">
        <v>24</v>
      </c>
      <c r="E28" s="1">
        <v>12.5</v>
      </c>
      <c r="F28" s="4">
        <v>450</v>
      </c>
    </row>
    <row r="29" spans="1:8" x14ac:dyDescent="0.2">
      <c r="A29" s="1">
        <v>1011</v>
      </c>
      <c r="B29" s="1" t="s">
        <v>31</v>
      </c>
      <c r="C29" s="1" t="s">
        <v>9</v>
      </c>
      <c r="D29" s="4">
        <v>23.5</v>
      </c>
      <c r="E29" s="1">
        <v>5.5</v>
      </c>
      <c r="F29" s="4">
        <v>193.88</v>
      </c>
    </row>
    <row r="30" spans="1:8" x14ac:dyDescent="0.2">
      <c r="A30"/>
      <c r="B30"/>
      <c r="C30"/>
      <c r="D30"/>
      <c r="E30"/>
      <c r="F30"/>
      <c r="G30"/>
      <c r="H30"/>
    </row>
    <row r="31" spans="1:8" x14ac:dyDescent="0.2">
      <c r="A31"/>
      <c r="B31"/>
      <c r="C31"/>
      <c r="D31"/>
      <c r="E31"/>
      <c r="F31"/>
      <c r="G31"/>
      <c r="H31"/>
    </row>
    <row r="32" spans="1:8" x14ac:dyDescent="0.2">
      <c r="A32"/>
      <c r="B32"/>
      <c r="C32"/>
      <c r="D32"/>
      <c r="E32"/>
      <c r="F32"/>
      <c r="G32"/>
      <c r="H32"/>
    </row>
    <row r="33" spans="1:8" x14ac:dyDescent="0.2">
      <c r="A33" s="23" t="s">
        <v>32</v>
      </c>
      <c r="B33" s="23"/>
      <c r="C33" s="23"/>
      <c r="D33" s="23"/>
      <c r="E33" s="23"/>
      <c r="F33" s="23"/>
      <c r="G33" s="23"/>
      <c r="H33" s="5"/>
    </row>
    <row r="34" spans="1:8" x14ac:dyDescent="0.2">
      <c r="A34" s="19" t="s">
        <v>16</v>
      </c>
      <c r="B34" s="19" t="s">
        <v>17</v>
      </c>
      <c r="C34" s="19" t="s">
        <v>3</v>
      </c>
      <c r="D34" s="19" t="s">
        <v>33</v>
      </c>
      <c r="E34" s="19" t="s">
        <v>34</v>
      </c>
      <c r="F34" s="19" t="s">
        <v>35</v>
      </c>
      <c r="G34" s="19" t="s">
        <v>36</v>
      </c>
      <c r="H34" s="8"/>
    </row>
    <row r="35" spans="1:8" x14ac:dyDescent="0.2">
      <c r="A35" s="1">
        <v>1006</v>
      </c>
      <c r="B35" s="1" t="s">
        <v>30</v>
      </c>
      <c r="C35" s="1" t="s">
        <v>13</v>
      </c>
      <c r="D35" s="1">
        <v>3.9</v>
      </c>
      <c r="E35" s="1">
        <v>4.3</v>
      </c>
      <c r="F35" s="7">
        <v>0.4</v>
      </c>
      <c r="G35" s="1" t="s">
        <v>37</v>
      </c>
    </row>
    <row r="36" spans="1:8" x14ac:dyDescent="0.2">
      <c r="A36" s="1">
        <v>1002</v>
      </c>
      <c r="B36" s="1" t="s">
        <v>24</v>
      </c>
      <c r="C36" s="1" t="s">
        <v>15</v>
      </c>
      <c r="D36" s="1">
        <v>3.8</v>
      </c>
      <c r="E36" s="1">
        <v>4.0999999999999996</v>
      </c>
      <c r="F36" s="7">
        <v>0.3</v>
      </c>
      <c r="G36" s="1" t="s">
        <v>37</v>
      </c>
    </row>
    <row r="37" spans="1:8" x14ac:dyDescent="0.2">
      <c r="A37" s="1">
        <v>1004</v>
      </c>
      <c r="B37" s="1" t="s">
        <v>38</v>
      </c>
      <c r="C37" s="1" t="s">
        <v>15</v>
      </c>
      <c r="D37" s="1">
        <v>3.2</v>
      </c>
      <c r="E37" s="1">
        <v>3.5</v>
      </c>
      <c r="F37" s="7">
        <v>0.3</v>
      </c>
      <c r="G37" s="1" t="s">
        <v>37</v>
      </c>
    </row>
    <row r="38" spans="1:8" x14ac:dyDescent="0.2">
      <c r="A38" s="1">
        <v>1010</v>
      </c>
      <c r="B38" s="1" t="s">
        <v>26</v>
      </c>
      <c r="C38" s="1" t="s">
        <v>9</v>
      </c>
      <c r="D38" s="1">
        <v>3.6</v>
      </c>
      <c r="E38" s="1">
        <v>3.9</v>
      </c>
      <c r="F38" s="7">
        <v>0.3</v>
      </c>
      <c r="G38" s="1" t="s">
        <v>37</v>
      </c>
    </row>
    <row r="39" spans="1:8" x14ac:dyDescent="0.2">
      <c r="A39" s="1">
        <v>1015</v>
      </c>
      <c r="B39" s="1" t="s">
        <v>39</v>
      </c>
      <c r="C39" s="1" t="s">
        <v>11</v>
      </c>
      <c r="D39" s="1">
        <v>3.3</v>
      </c>
      <c r="E39" s="1">
        <v>3.6</v>
      </c>
      <c r="F39" s="7">
        <v>0.3</v>
      </c>
      <c r="G39" s="1" t="s">
        <v>37</v>
      </c>
    </row>
    <row r="40" spans="1:8" x14ac:dyDescent="0.2">
      <c r="A40" s="1">
        <v>1003</v>
      </c>
      <c r="B40" s="1" t="s">
        <v>23</v>
      </c>
      <c r="C40" s="1" t="s">
        <v>15</v>
      </c>
      <c r="D40" s="1">
        <v>4.4000000000000004</v>
      </c>
      <c r="E40" s="1">
        <v>4.5999999999999996</v>
      </c>
      <c r="F40" s="7">
        <v>0.2</v>
      </c>
      <c r="G40" s="1" t="s">
        <v>37</v>
      </c>
    </row>
    <row r="41" spans="1:8" x14ac:dyDescent="0.2">
      <c r="A41" s="1">
        <v>1005</v>
      </c>
      <c r="B41" s="1" t="s">
        <v>40</v>
      </c>
      <c r="C41" s="1" t="s">
        <v>13</v>
      </c>
      <c r="D41" s="1">
        <v>4</v>
      </c>
      <c r="E41" s="1">
        <v>4.2</v>
      </c>
      <c r="F41" s="7">
        <v>0.2</v>
      </c>
      <c r="G41" s="1" t="s">
        <v>37</v>
      </c>
    </row>
    <row r="42" spans="1:8" x14ac:dyDescent="0.2">
      <c r="A42" s="1">
        <v>1007</v>
      </c>
      <c r="B42" s="1" t="s">
        <v>25</v>
      </c>
      <c r="C42" s="1" t="s">
        <v>13</v>
      </c>
      <c r="D42" s="1">
        <v>3.5</v>
      </c>
      <c r="E42" s="1">
        <v>3.7</v>
      </c>
      <c r="F42" s="7">
        <v>0.2</v>
      </c>
      <c r="G42" s="1" t="s">
        <v>37</v>
      </c>
    </row>
    <row r="43" spans="1:8" x14ac:dyDescent="0.2">
      <c r="A43" s="1">
        <v>1008</v>
      </c>
      <c r="B43" s="1" t="s">
        <v>41</v>
      </c>
      <c r="C43" s="1" t="s">
        <v>13</v>
      </c>
      <c r="D43" s="1">
        <v>2.9</v>
      </c>
      <c r="E43" s="1">
        <v>3.1</v>
      </c>
      <c r="F43" s="7">
        <v>0.2</v>
      </c>
      <c r="G43" s="1" t="s">
        <v>37</v>
      </c>
    </row>
    <row r="44" spans="1:8" x14ac:dyDescent="0.2">
      <c r="A44" s="1">
        <v>1009</v>
      </c>
      <c r="B44" s="1" t="s">
        <v>42</v>
      </c>
      <c r="C44" s="1" t="s">
        <v>9</v>
      </c>
      <c r="D44" s="1">
        <v>4.5</v>
      </c>
      <c r="E44" s="1">
        <v>4.7</v>
      </c>
      <c r="F44" s="7">
        <v>0.2</v>
      </c>
      <c r="G44" s="1" t="s">
        <v>37</v>
      </c>
    </row>
    <row r="45" spans="1:8" x14ac:dyDescent="0.2">
      <c r="A45" s="1">
        <v>1011</v>
      </c>
      <c r="B45" s="1" t="s">
        <v>31</v>
      </c>
      <c r="C45" s="1" t="s">
        <v>9</v>
      </c>
      <c r="D45" s="1">
        <v>4</v>
      </c>
      <c r="E45" s="1">
        <v>4.2</v>
      </c>
      <c r="F45" s="7">
        <v>0.2</v>
      </c>
      <c r="G45" s="1" t="s">
        <v>37</v>
      </c>
    </row>
    <row r="46" spans="1:8" x14ac:dyDescent="0.2">
      <c r="A46" s="1">
        <v>1012</v>
      </c>
      <c r="B46" s="1" t="s">
        <v>43</v>
      </c>
      <c r="C46" s="1" t="s">
        <v>12</v>
      </c>
      <c r="D46" s="1">
        <v>4.3</v>
      </c>
      <c r="E46" s="1">
        <v>4.5</v>
      </c>
      <c r="F46" s="7">
        <v>0.2</v>
      </c>
      <c r="G46" s="1" t="s">
        <v>37</v>
      </c>
    </row>
    <row r="47" spans="1:8" x14ac:dyDescent="0.2">
      <c r="A47" s="1">
        <v>1013</v>
      </c>
      <c r="B47" s="1" t="s">
        <v>44</v>
      </c>
      <c r="C47" s="1" t="s">
        <v>12</v>
      </c>
      <c r="D47" s="1">
        <v>3.7</v>
      </c>
      <c r="E47" s="1">
        <v>3.9</v>
      </c>
      <c r="F47" s="7">
        <v>0.2</v>
      </c>
      <c r="G47" s="1" t="s">
        <v>37</v>
      </c>
    </row>
    <row r="48" spans="1:8" x14ac:dyDescent="0.2">
      <c r="A48" s="1">
        <v>1014</v>
      </c>
      <c r="B48" s="1" t="s">
        <v>45</v>
      </c>
      <c r="C48" s="1" t="s">
        <v>11</v>
      </c>
      <c r="D48" s="1">
        <v>4.2</v>
      </c>
      <c r="E48" s="1">
        <v>4.4000000000000004</v>
      </c>
      <c r="F48" s="7">
        <v>0.2</v>
      </c>
      <c r="G48" s="1" t="s">
        <v>37</v>
      </c>
    </row>
  </sheetData>
  <dataConsolidate/>
  <mergeCells count="4">
    <mergeCell ref="A33:G33"/>
    <mergeCell ref="A22:F22"/>
    <mergeCell ref="A1:F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4035-DB67-114D-AE50-F47338FAA218}">
  <dimension ref="A1:Q38"/>
  <sheetViews>
    <sheetView workbookViewId="0">
      <selection activeCell="B14" sqref="A14:B14"/>
    </sheetView>
  </sheetViews>
  <sheetFormatPr baseColWidth="10" defaultRowHeight="16" x14ac:dyDescent="0.2"/>
  <cols>
    <col min="1" max="1" width="10.6640625" bestFit="1" customWidth="1"/>
    <col min="2" max="2" width="22.33203125" bestFit="1" customWidth="1"/>
    <col min="3" max="3" width="9.83203125" bestFit="1" customWidth="1"/>
    <col min="4" max="4" width="13.83203125" bestFit="1" customWidth="1"/>
    <col min="5" max="5" width="8.33203125" bestFit="1" customWidth="1"/>
    <col min="6" max="6" width="8.6640625" bestFit="1" customWidth="1"/>
    <col min="8" max="8" width="10.6640625" bestFit="1" customWidth="1"/>
    <col min="9" max="9" width="10.6640625" customWidth="1"/>
    <col min="12" max="12" width="9.5" customWidth="1"/>
    <col min="13" max="13" width="0" hidden="1" customWidth="1"/>
    <col min="14" max="14" width="10" hidden="1" customWidth="1"/>
    <col min="15" max="15" width="10.83203125" hidden="1" customWidth="1"/>
    <col min="16" max="17" width="0.1640625" hidden="1" customWidth="1"/>
  </cols>
  <sheetData>
    <row r="1" spans="1:6" x14ac:dyDescent="0.2">
      <c r="A1" s="24" t="s">
        <v>46</v>
      </c>
      <c r="B1" s="24"/>
      <c r="C1" s="24"/>
      <c r="D1" s="24"/>
      <c r="E1" s="24"/>
      <c r="F1" s="24"/>
    </row>
    <row r="2" spans="1:6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x14ac:dyDescent="0.2">
      <c r="A3" t="s">
        <v>9</v>
      </c>
      <c r="B3" t="s">
        <v>10</v>
      </c>
      <c r="C3">
        <v>3</v>
      </c>
      <c r="D3" s="3">
        <v>28.5</v>
      </c>
      <c r="E3" s="3">
        <v>23.5</v>
      </c>
      <c r="F3" s="3">
        <v>38</v>
      </c>
    </row>
    <row r="4" spans="1:6" x14ac:dyDescent="0.2">
      <c r="A4" t="s">
        <v>11</v>
      </c>
      <c r="B4" t="s">
        <v>10</v>
      </c>
      <c r="C4">
        <v>2</v>
      </c>
      <c r="D4" s="3">
        <v>30.25</v>
      </c>
      <c r="E4" s="3">
        <v>26.5</v>
      </c>
      <c r="F4" s="3">
        <v>34</v>
      </c>
    </row>
    <row r="5" spans="1:6" x14ac:dyDescent="0.2">
      <c r="A5" t="s">
        <v>12</v>
      </c>
      <c r="B5" t="s">
        <v>10</v>
      </c>
      <c r="C5">
        <v>2</v>
      </c>
      <c r="D5" s="3">
        <v>27</v>
      </c>
      <c r="E5" s="3">
        <v>25</v>
      </c>
      <c r="F5" s="3">
        <v>29</v>
      </c>
    </row>
    <row r="6" spans="1:6" x14ac:dyDescent="0.2">
      <c r="A6" t="s">
        <v>13</v>
      </c>
      <c r="B6" t="s">
        <v>10</v>
      </c>
      <c r="C6">
        <v>3</v>
      </c>
      <c r="D6" s="3">
        <v>25</v>
      </c>
      <c r="E6" s="3">
        <v>18</v>
      </c>
      <c r="F6" s="3">
        <v>30</v>
      </c>
    </row>
    <row r="7" spans="1:6" x14ac:dyDescent="0.2">
      <c r="A7" t="s">
        <v>13</v>
      </c>
      <c r="B7" t="s">
        <v>14</v>
      </c>
      <c r="C7">
        <v>1</v>
      </c>
      <c r="D7" s="3">
        <v>18</v>
      </c>
      <c r="E7" s="3">
        <v>18</v>
      </c>
      <c r="F7" s="3">
        <v>18</v>
      </c>
    </row>
    <row r="8" spans="1:6" x14ac:dyDescent="0.2">
      <c r="A8" t="s">
        <v>15</v>
      </c>
      <c r="B8" t="s">
        <v>10</v>
      </c>
      <c r="C8">
        <v>3</v>
      </c>
      <c r="D8" s="3">
        <v>28.67</v>
      </c>
      <c r="E8" s="3">
        <v>21.5</v>
      </c>
      <c r="F8" s="3">
        <v>42.5</v>
      </c>
    </row>
    <row r="9" spans="1:6" x14ac:dyDescent="0.2">
      <c r="A9" t="s">
        <v>15</v>
      </c>
      <c r="B9" t="s">
        <v>14</v>
      </c>
      <c r="C9">
        <v>1</v>
      </c>
      <c r="D9" s="3">
        <v>19.75</v>
      </c>
      <c r="E9" s="3">
        <v>19.75</v>
      </c>
      <c r="F9" s="3">
        <v>19.75</v>
      </c>
    </row>
    <row r="13" spans="1:6" x14ac:dyDescent="0.2">
      <c r="A13" s="25" t="s">
        <v>47</v>
      </c>
      <c r="B13" s="25"/>
    </row>
    <row r="14" spans="1:6" x14ac:dyDescent="0.2">
      <c r="A14" s="2" t="s">
        <v>3</v>
      </c>
      <c r="B14" s="2" t="s">
        <v>48</v>
      </c>
    </row>
    <row r="15" spans="1:6" x14ac:dyDescent="0.2">
      <c r="A15" s="9" t="s">
        <v>15</v>
      </c>
      <c r="B15" s="10">
        <v>199420</v>
      </c>
    </row>
    <row r="16" spans="1:6" x14ac:dyDescent="0.2">
      <c r="A16" s="9" t="s">
        <v>9</v>
      </c>
      <c r="B16" s="10">
        <v>177840</v>
      </c>
    </row>
    <row r="17" spans="1:17" x14ac:dyDescent="0.2">
      <c r="A17" s="9" t="s">
        <v>13</v>
      </c>
      <c r="B17" s="10">
        <v>174720</v>
      </c>
    </row>
    <row r="18" spans="1:17" x14ac:dyDescent="0.2">
      <c r="A18" s="9" t="s">
        <v>11</v>
      </c>
      <c r="B18" s="10">
        <v>125840</v>
      </c>
    </row>
    <row r="19" spans="1:17" x14ac:dyDescent="0.2">
      <c r="A19" s="9" t="s">
        <v>12</v>
      </c>
      <c r="B19" s="10">
        <v>112320</v>
      </c>
      <c r="L19" s="26"/>
      <c r="M19" s="26"/>
      <c r="N19" s="26"/>
      <c r="O19" s="26"/>
      <c r="P19" s="26"/>
      <c r="Q19" s="26"/>
    </row>
    <row r="38" spans="12:17" x14ac:dyDescent="0.2">
      <c r="L38" s="26"/>
      <c r="M38" s="26"/>
      <c r="N38" s="26"/>
      <c r="O38" s="26"/>
      <c r="P38" s="26"/>
      <c r="Q38" s="26"/>
    </row>
  </sheetData>
  <mergeCells count="4">
    <mergeCell ref="A1:F1"/>
    <mergeCell ref="A13:B13"/>
    <mergeCell ref="L19:Q19"/>
    <mergeCell ref="L38:Q38"/>
  </mergeCells>
  <conditionalFormatting sqref="D2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BE2A-8463-BD4C-91CA-AFBEAF064643}">
  <dimension ref="A1:N20"/>
  <sheetViews>
    <sheetView workbookViewId="0">
      <selection activeCell="H7" sqref="H7"/>
    </sheetView>
  </sheetViews>
  <sheetFormatPr baseColWidth="10" defaultRowHeight="16" x14ac:dyDescent="0.2"/>
  <cols>
    <col min="1" max="1" width="11.33203125" bestFit="1" customWidth="1"/>
    <col min="2" max="2" width="11.6640625" bestFit="1" customWidth="1"/>
    <col min="3" max="3" width="10.6640625" bestFit="1" customWidth="1"/>
    <col min="4" max="4" width="15.5" bestFit="1" customWidth="1"/>
    <col min="5" max="5" width="11.83203125" bestFit="1" customWidth="1"/>
    <col min="6" max="6" width="11.1640625" bestFit="1" customWidth="1"/>
    <col min="7" max="7" width="8.83203125" bestFit="1" customWidth="1"/>
    <col min="8" max="8" width="18.33203125" bestFit="1" customWidth="1"/>
    <col min="9" max="9" width="10.83203125" customWidth="1"/>
    <col min="11" max="11" width="13" bestFit="1" customWidth="1"/>
    <col min="12" max="12" width="17.6640625" bestFit="1" customWidth="1"/>
    <col min="13" max="13" width="15" bestFit="1" customWidth="1"/>
    <col min="14" max="14" width="27.6640625" bestFit="1" customWidth="1"/>
  </cols>
  <sheetData>
    <row r="1" spans="1:14" x14ac:dyDescent="0.2">
      <c r="A1" s="24" t="s">
        <v>50</v>
      </c>
      <c r="B1" s="24"/>
      <c r="C1" s="24"/>
      <c r="D1" s="24"/>
      <c r="E1" s="24"/>
      <c r="F1" s="24"/>
      <c r="G1" s="24"/>
      <c r="H1" s="24"/>
      <c r="I1" s="24"/>
      <c r="K1" s="15" t="s">
        <v>58</v>
      </c>
      <c r="L1" t="s">
        <v>60</v>
      </c>
      <c r="M1" t="s">
        <v>61</v>
      </c>
      <c r="N1" t="s">
        <v>62</v>
      </c>
    </row>
    <row r="2" spans="1:14" x14ac:dyDescent="0.2">
      <c r="A2" s="2" t="s">
        <v>16</v>
      </c>
      <c r="B2" s="2" t="s">
        <v>17</v>
      </c>
      <c r="C2" s="2" t="s">
        <v>3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49</v>
      </c>
      <c r="K2" s="9" t="s">
        <v>9</v>
      </c>
      <c r="L2">
        <v>0</v>
      </c>
      <c r="M2">
        <v>0</v>
      </c>
      <c r="N2" s="16">
        <v>100</v>
      </c>
    </row>
    <row r="3" spans="1:14" x14ac:dyDescent="0.2">
      <c r="A3">
        <v>1003</v>
      </c>
      <c r="B3" t="s">
        <v>23</v>
      </c>
      <c r="C3" t="s">
        <v>15</v>
      </c>
      <c r="D3">
        <v>15</v>
      </c>
      <c r="E3">
        <v>10</v>
      </c>
      <c r="F3">
        <v>2</v>
      </c>
      <c r="G3">
        <v>3</v>
      </c>
      <c r="H3" s="11">
        <f>(E3/D3)*100</f>
        <v>66.666666666666657</v>
      </c>
      <c r="I3" t="str">
        <f>IF(H3&lt;80,"⚠ REVIEW",IF(H3&lt;90,"Monitor","✓ Good"))</f>
        <v>⚠ REVIEW</v>
      </c>
      <c r="K3" s="9" t="s">
        <v>13</v>
      </c>
      <c r="L3">
        <v>0</v>
      </c>
      <c r="M3">
        <v>1</v>
      </c>
      <c r="N3" s="16">
        <v>93.333333333333329</v>
      </c>
    </row>
    <row r="4" spans="1:14" x14ac:dyDescent="0.2">
      <c r="A4">
        <v>1002</v>
      </c>
      <c r="B4" t="s">
        <v>24</v>
      </c>
      <c r="C4" t="s">
        <v>15</v>
      </c>
      <c r="D4">
        <v>15</v>
      </c>
      <c r="E4">
        <v>12</v>
      </c>
      <c r="F4">
        <v>1</v>
      </c>
      <c r="G4">
        <v>2</v>
      </c>
      <c r="H4" s="11">
        <f>(E4/D4)*100</f>
        <v>80</v>
      </c>
      <c r="I4" t="str">
        <f t="shared" ref="I4:I5" si="0">IF(H4&lt;80,"⚠ REVIEW",IF(H4&lt;90,"Monitor","✓ Good"))</f>
        <v>Monitor</v>
      </c>
      <c r="K4" s="9" t="s">
        <v>15</v>
      </c>
      <c r="L4">
        <v>3</v>
      </c>
      <c r="M4">
        <v>5</v>
      </c>
      <c r="N4" s="16">
        <v>73.333333333333329</v>
      </c>
    </row>
    <row r="5" spans="1:14" x14ac:dyDescent="0.2">
      <c r="A5">
        <v>1007</v>
      </c>
      <c r="B5" t="s">
        <v>25</v>
      </c>
      <c r="C5" t="s">
        <v>13</v>
      </c>
      <c r="D5">
        <v>15</v>
      </c>
      <c r="E5">
        <v>14</v>
      </c>
      <c r="F5">
        <v>0</v>
      </c>
      <c r="G5">
        <v>1</v>
      </c>
      <c r="H5" s="11">
        <f t="shared" ref="H5:H6" si="1">(E5/D5)*100</f>
        <v>93.333333333333329</v>
      </c>
      <c r="I5" t="str">
        <f t="shared" si="0"/>
        <v>✓ Good</v>
      </c>
      <c r="K5" s="9" t="s">
        <v>59</v>
      </c>
      <c r="L5">
        <v>3</v>
      </c>
      <c r="M5">
        <v>6</v>
      </c>
      <c r="N5" s="16">
        <v>85</v>
      </c>
    </row>
    <row r="6" spans="1:14" x14ac:dyDescent="0.2">
      <c r="A6">
        <v>1010</v>
      </c>
      <c r="B6" t="s">
        <v>26</v>
      </c>
      <c r="C6" t="s">
        <v>9</v>
      </c>
      <c r="D6">
        <v>15</v>
      </c>
      <c r="E6">
        <v>15</v>
      </c>
      <c r="F6">
        <v>0</v>
      </c>
      <c r="G6">
        <v>0</v>
      </c>
      <c r="H6" s="11">
        <f t="shared" si="1"/>
        <v>100</v>
      </c>
      <c r="I6" t="str">
        <f>IF(H6&lt;80,"⚠ REVIEW",IF(H6&lt;90,"Monitor","✓ Good"))</f>
        <v>✓ Good</v>
      </c>
    </row>
    <row r="10" spans="1:14" x14ac:dyDescent="0.2">
      <c r="A10" s="24" t="s">
        <v>57</v>
      </c>
      <c r="B10" s="24"/>
      <c r="C10" s="24"/>
      <c r="D10" s="24"/>
    </row>
    <row r="11" spans="1:14" x14ac:dyDescent="0.2">
      <c r="A11" s="18" t="s">
        <v>3</v>
      </c>
      <c r="B11" s="18" t="s">
        <v>51</v>
      </c>
      <c r="C11" s="18" t="s">
        <v>52</v>
      </c>
      <c r="D11" s="18" t="s">
        <v>53</v>
      </c>
    </row>
    <row r="12" spans="1:14" x14ac:dyDescent="0.2">
      <c r="A12" s="13" t="s">
        <v>9</v>
      </c>
      <c r="B12" s="14" t="s">
        <v>54</v>
      </c>
      <c r="C12" s="13">
        <v>0</v>
      </c>
      <c r="D12" s="13">
        <v>1</v>
      </c>
    </row>
    <row r="13" spans="1:14" x14ac:dyDescent="0.2">
      <c r="A13" s="13" t="s">
        <v>9</v>
      </c>
      <c r="B13" s="14" t="s">
        <v>55</v>
      </c>
      <c r="C13" s="13">
        <v>1</v>
      </c>
      <c r="D13" s="13">
        <v>1</v>
      </c>
    </row>
    <row r="14" spans="1:14" x14ac:dyDescent="0.2">
      <c r="A14" s="13" t="s">
        <v>9</v>
      </c>
      <c r="B14" s="14" t="s">
        <v>56</v>
      </c>
      <c r="C14" s="13">
        <v>1</v>
      </c>
      <c r="D14" s="13">
        <v>1</v>
      </c>
    </row>
    <row r="15" spans="1:14" x14ac:dyDescent="0.2">
      <c r="A15" s="13" t="s">
        <v>13</v>
      </c>
      <c r="B15" s="14" t="s">
        <v>54</v>
      </c>
      <c r="C15" s="13">
        <v>1</v>
      </c>
      <c r="D15" s="13">
        <v>1</v>
      </c>
    </row>
    <row r="16" spans="1:14" x14ac:dyDescent="0.2">
      <c r="A16" s="13" t="s">
        <v>13</v>
      </c>
      <c r="B16" s="14" t="s">
        <v>55</v>
      </c>
      <c r="C16" s="13">
        <v>1</v>
      </c>
      <c r="D16" s="13">
        <v>1</v>
      </c>
    </row>
    <row r="17" spans="1:4" x14ac:dyDescent="0.2">
      <c r="A17" s="13" t="s">
        <v>13</v>
      </c>
      <c r="B17" s="14" t="s">
        <v>56</v>
      </c>
      <c r="C17" s="13">
        <v>1</v>
      </c>
      <c r="D17" s="13">
        <v>1</v>
      </c>
    </row>
    <row r="18" spans="1:4" x14ac:dyDescent="0.2">
      <c r="A18" s="13" t="s">
        <v>15</v>
      </c>
      <c r="B18" s="14" t="s">
        <v>54</v>
      </c>
      <c r="C18" s="13">
        <v>1</v>
      </c>
      <c r="D18" s="13">
        <v>2</v>
      </c>
    </row>
    <row r="19" spans="1:4" x14ac:dyDescent="0.2">
      <c r="A19" s="13" t="s">
        <v>15</v>
      </c>
      <c r="B19" s="14" t="s">
        <v>55</v>
      </c>
      <c r="C19" s="13">
        <v>2</v>
      </c>
      <c r="D19" s="13">
        <v>2</v>
      </c>
    </row>
    <row r="20" spans="1:4" x14ac:dyDescent="0.2">
      <c r="A20" s="13" t="s">
        <v>15</v>
      </c>
      <c r="B20" s="14" t="s">
        <v>56</v>
      </c>
      <c r="C20" s="13">
        <v>2</v>
      </c>
      <c r="D20" s="13">
        <v>2</v>
      </c>
    </row>
  </sheetData>
  <mergeCells count="2">
    <mergeCell ref="A1:I1"/>
    <mergeCell ref="A10:D10"/>
  </mergeCells>
  <conditionalFormatting sqref="H3:H6">
    <cfRule type="cellIs" dxfId="20" priority="8" operator="greaterThan">
      <formula>90</formula>
    </cfRule>
    <cfRule type="cellIs" dxfId="19" priority="9" operator="between">
      <formula>80</formula>
      <formula>90</formula>
    </cfRule>
    <cfRule type="cellIs" dxfId="18" priority="10" operator="lessThan">
      <formula>80</formula>
    </cfRule>
  </conditionalFormatting>
  <conditionalFormatting sqref="I3">
    <cfRule type="containsText" dxfId="17" priority="14" operator="containsText" text="⚠ REVIEW">
      <formula>NOT(ISERROR(SEARCH("⚠ REVIEW",I3)))</formula>
    </cfRule>
    <cfRule type="containsText" dxfId="16" priority="15" operator="containsText" text="⚠ REVIEW">
      <formula>NOT(ISERROR(SEARCH("⚠ REVIEW",I3)))</formula>
    </cfRule>
  </conditionalFormatting>
  <conditionalFormatting sqref="I3:I6">
    <cfRule type="containsText" dxfId="15" priority="11" operator="containsText" text="✓ Good">
      <formula>NOT(ISERROR(SEARCH("✓ Good",I3)))</formula>
    </cfRule>
    <cfRule type="containsText" dxfId="14" priority="12" operator="containsText" text="Monitor">
      <formula>NOT(ISERROR(SEARCH("Monitor",I3)))</formula>
    </cfRule>
    <cfRule type="containsText" dxfId="13" priority="13" operator="containsText" text="Moniter">
      <formula>NOT(ISERROR(SEARCH("Moniter",I3)))</formula>
    </cfRule>
    <cfRule type="containsText" dxfId="12" priority="16" operator="containsText" text="⚠ REVIEW">
      <formula>NOT(ISERROR(SEARCH("⚠ REVIEW",I3)))</formula>
    </cfRule>
    <cfRule type="colorScale" priority="17">
      <colorScale>
        <cfvo type="formula" val="$I$3"/>
        <cfvo type="formula" val="$I$4"/>
        <cfvo type="formula" val="$I$5"/>
        <color rgb="FFFF0000"/>
        <color rgb="FFFFEB84"/>
        <color theme="9"/>
      </colorScale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{261546B7-D226-E242-83C8-268D7C554AAD}</x14:id>
        </ext>
      </extLst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">
    <cfRule type="cellIs" dxfId="11" priority="7" operator="between">
      <formula>80</formula>
      <formula>90</formula>
    </cfRule>
  </conditionalFormatting>
  <conditionalFormatting sqref="I4">
    <cfRule type="containsText" dxfId="10" priority="6" operator="containsText" text="Monitor">
      <formula>NOT(ISERROR(SEARCH("Monitor",I4)))</formula>
    </cfRule>
  </conditionalFormatting>
  <conditionalFormatting pivot="1" sqref="N2:N5">
    <cfRule type="cellIs" dxfId="9" priority="5" operator="lessThan">
      <formula>80</formula>
    </cfRule>
  </conditionalFormatting>
  <conditionalFormatting pivot="1" sqref="N2:N5">
    <cfRule type="cellIs" dxfId="8" priority="4" operator="between">
      <formula>80</formula>
      <formula>90</formula>
    </cfRule>
  </conditionalFormatting>
  <conditionalFormatting pivot="1" sqref="N2:N5">
    <cfRule type="cellIs" dxfId="7" priority="3" operator="between">
      <formula>80</formula>
      <formula>90</formula>
    </cfRule>
  </conditionalFormatting>
  <conditionalFormatting pivot="1" sqref="N2:N5">
    <cfRule type="cellIs" dxfId="6" priority="2" operator="between">
      <formula>80</formula>
      <formula>90</formula>
    </cfRule>
  </conditionalFormatting>
  <conditionalFormatting pivot="1" sqref="N2:N5">
    <cfRule type="cellIs" dxfId="5" priority="1" operator="greaterThan">
      <formula>90</formula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1546B7-D226-E242-83C8-268D7C554A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I3:I6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597-1CA6-EF47-9EAD-B9A3DCDDC6EF}">
  <dimension ref="A1:Q29"/>
  <sheetViews>
    <sheetView zoomScaleNormal="100" workbookViewId="0">
      <selection activeCell="H14" sqref="H14"/>
    </sheetView>
  </sheetViews>
  <sheetFormatPr baseColWidth="10" defaultRowHeight="16" x14ac:dyDescent="0.2"/>
  <cols>
    <col min="1" max="1" width="10" bestFit="1" customWidth="1"/>
    <col min="2" max="2" width="16.83203125" bestFit="1" customWidth="1"/>
    <col min="3" max="3" width="12.83203125" bestFit="1" customWidth="1"/>
    <col min="4" max="4" width="10.33203125" bestFit="1" customWidth="1"/>
    <col min="5" max="5" width="12.83203125" bestFit="1" customWidth="1"/>
    <col min="6" max="6" width="11.83203125" bestFit="1" customWidth="1"/>
  </cols>
  <sheetData>
    <row r="1" spans="1:17" x14ac:dyDescent="0.2">
      <c r="A1" s="24" t="s">
        <v>63</v>
      </c>
      <c r="B1" s="24"/>
      <c r="C1" s="24"/>
      <c r="D1" s="24"/>
      <c r="E1" s="24"/>
      <c r="F1" s="24"/>
      <c r="G1" s="24"/>
    </row>
    <row r="2" spans="1:17" x14ac:dyDescent="0.2">
      <c r="A2" s="2" t="s">
        <v>16</v>
      </c>
      <c r="B2" s="2" t="s">
        <v>17</v>
      </c>
      <c r="C2" s="2" t="s">
        <v>3</v>
      </c>
      <c r="D2" s="2" t="s">
        <v>27</v>
      </c>
      <c r="E2" s="2" t="s">
        <v>28</v>
      </c>
      <c r="F2" s="2" t="s">
        <v>29</v>
      </c>
      <c r="G2" s="2" t="s">
        <v>67</v>
      </c>
    </row>
    <row r="3" spans="1:17" x14ac:dyDescent="0.2">
      <c r="A3">
        <v>1007</v>
      </c>
      <c r="B3" t="s">
        <v>25</v>
      </c>
      <c r="C3" t="s">
        <v>13</v>
      </c>
      <c r="D3" s="3">
        <v>18</v>
      </c>
      <c r="E3">
        <v>21.5</v>
      </c>
      <c r="F3" s="3">
        <v>580.5</v>
      </c>
      <c r="G3" t="str">
        <f>IF(E3&gt;15,"High OT",IF(E3&gt;8,"Moderate","Low"))</f>
        <v>High OT</v>
      </c>
    </row>
    <row r="4" spans="1:17" x14ac:dyDescent="0.2">
      <c r="A4">
        <v>1006</v>
      </c>
      <c r="B4" t="s">
        <v>30</v>
      </c>
      <c r="C4" t="s">
        <v>13</v>
      </c>
      <c r="D4" s="3">
        <v>30</v>
      </c>
      <c r="E4">
        <v>16</v>
      </c>
      <c r="F4" s="3">
        <v>720</v>
      </c>
      <c r="G4" t="str">
        <f t="shared" ref="G4:G8" si="0">IF(E4&gt;15,"High OT",IF(E4&gt;8,"Moderate","Low"))</f>
        <v>High OT</v>
      </c>
    </row>
    <row r="5" spans="1:17" x14ac:dyDescent="0.2">
      <c r="A5">
        <v>1002</v>
      </c>
      <c r="B5" t="s">
        <v>24</v>
      </c>
      <c r="C5" t="s">
        <v>15</v>
      </c>
      <c r="D5" s="3">
        <v>22</v>
      </c>
      <c r="E5">
        <v>15</v>
      </c>
      <c r="F5" s="3">
        <v>495</v>
      </c>
      <c r="G5" t="str">
        <f t="shared" si="0"/>
        <v>Moderate</v>
      </c>
    </row>
    <row r="6" spans="1:17" x14ac:dyDescent="0.2">
      <c r="A6">
        <v>1003</v>
      </c>
      <c r="B6" t="s">
        <v>23</v>
      </c>
      <c r="C6" t="s">
        <v>15</v>
      </c>
      <c r="D6" s="3">
        <v>21.5</v>
      </c>
      <c r="E6">
        <v>13.5</v>
      </c>
      <c r="F6" s="3">
        <v>435.38</v>
      </c>
      <c r="G6" t="str">
        <f t="shared" si="0"/>
        <v>Moderate</v>
      </c>
    </row>
    <row r="7" spans="1:17" x14ac:dyDescent="0.2">
      <c r="A7">
        <v>1010</v>
      </c>
      <c r="B7" t="s">
        <v>26</v>
      </c>
      <c r="C7" t="s">
        <v>9</v>
      </c>
      <c r="D7" s="3">
        <v>24</v>
      </c>
      <c r="E7">
        <v>12.5</v>
      </c>
      <c r="F7" s="3">
        <v>450</v>
      </c>
      <c r="G7" t="str">
        <f t="shared" si="0"/>
        <v>Moderate</v>
      </c>
    </row>
    <row r="8" spans="1:17" x14ac:dyDescent="0.2">
      <c r="A8">
        <v>1011</v>
      </c>
      <c r="B8" t="s">
        <v>31</v>
      </c>
      <c r="C8" t="s">
        <v>9</v>
      </c>
      <c r="D8" s="3">
        <v>23.5</v>
      </c>
      <c r="E8">
        <v>5.5</v>
      </c>
      <c r="F8" s="3">
        <v>193.88</v>
      </c>
      <c r="G8" t="str">
        <f t="shared" si="0"/>
        <v>Low</v>
      </c>
    </row>
    <row r="9" spans="1:17" x14ac:dyDescent="0.2">
      <c r="F9" s="3"/>
    </row>
    <row r="10" spans="1:17" x14ac:dyDescent="0.2">
      <c r="Q10">
        <v>3</v>
      </c>
    </row>
    <row r="12" spans="1:17" x14ac:dyDescent="0.2">
      <c r="A12" s="24" t="s">
        <v>66</v>
      </c>
      <c r="B12" s="24"/>
      <c r="C12" s="24"/>
    </row>
    <row r="13" spans="1:17" x14ac:dyDescent="0.2">
      <c r="A13" s="2" t="s">
        <v>3</v>
      </c>
      <c r="B13" s="2" t="s">
        <v>64</v>
      </c>
      <c r="C13" s="2" t="s">
        <v>65</v>
      </c>
    </row>
    <row r="14" spans="1:17" x14ac:dyDescent="0.2">
      <c r="A14" t="s">
        <v>13</v>
      </c>
      <c r="B14">
        <v>37.5</v>
      </c>
      <c r="C14" s="3">
        <v>1300.5</v>
      </c>
    </row>
    <row r="15" spans="1:17" x14ac:dyDescent="0.2">
      <c r="A15" t="s">
        <v>15</v>
      </c>
      <c r="B15">
        <v>28.5</v>
      </c>
      <c r="C15" s="3">
        <v>930.38</v>
      </c>
    </row>
    <row r="16" spans="1:17" x14ac:dyDescent="0.2">
      <c r="A16" t="s">
        <v>9</v>
      </c>
      <c r="B16">
        <v>18</v>
      </c>
      <c r="C16" s="3">
        <v>643.88</v>
      </c>
    </row>
    <row r="20" spans="1:3" x14ac:dyDescent="0.2">
      <c r="A20" s="24" t="s">
        <v>70</v>
      </c>
      <c r="B20" s="24"/>
      <c r="C20" s="24"/>
    </row>
    <row r="21" spans="1:3" x14ac:dyDescent="0.2">
      <c r="A21" s="2" t="s">
        <v>68</v>
      </c>
      <c r="B21" s="2" t="s">
        <v>69</v>
      </c>
      <c r="C21" s="2" t="s">
        <v>28</v>
      </c>
    </row>
    <row r="22" spans="1:3" x14ac:dyDescent="0.2">
      <c r="A22" s="17">
        <v>45299</v>
      </c>
      <c r="B22">
        <v>4</v>
      </c>
      <c r="C22">
        <v>19</v>
      </c>
    </row>
    <row r="23" spans="1:3" x14ac:dyDescent="0.2">
      <c r="A23" s="17">
        <v>45306</v>
      </c>
      <c r="B23">
        <v>2</v>
      </c>
      <c r="C23">
        <v>11</v>
      </c>
    </row>
    <row r="24" spans="1:3" x14ac:dyDescent="0.2">
      <c r="A24" s="17">
        <v>45313</v>
      </c>
      <c r="B24">
        <v>1</v>
      </c>
      <c r="C24">
        <v>2</v>
      </c>
    </row>
    <row r="25" spans="1:3" x14ac:dyDescent="0.2">
      <c r="A25" s="17">
        <v>45327</v>
      </c>
      <c r="B25">
        <v>3</v>
      </c>
      <c r="C25">
        <v>16.5</v>
      </c>
    </row>
    <row r="26" spans="1:3" x14ac:dyDescent="0.2">
      <c r="A26" s="17">
        <v>45334</v>
      </c>
      <c r="B26">
        <v>2</v>
      </c>
      <c r="C26">
        <v>7.5</v>
      </c>
    </row>
    <row r="27" spans="1:3" x14ac:dyDescent="0.2">
      <c r="A27" s="17">
        <v>45341</v>
      </c>
      <c r="B27">
        <v>1</v>
      </c>
      <c r="C27">
        <v>4.5</v>
      </c>
    </row>
    <row r="28" spans="1:3" x14ac:dyDescent="0.2">
      <c r="A28" s="17">
        <v>45355</v>
      </c>
      <c r="B28">
        <v>3</v>
      </c>
      <c r="C28">
        <v>15</v>
      </c>
    </row>
    <row r="29" spans="1:3" x14ac:dyDescent="0.2">
      <c r="A29" s="17">
        <v>45362</v>
      </c>
      <c r="B29">
        <v>2</v>
      </c>
      <c r="C29">
        <v>8.5</v>
      </c>
    </row>
  </sheetData>
  <mergeCells count="3">
    <mergeCell ref="A12:C12"/>
    <mergeCell ref="A1:G1"/>
    <mergeCell ref="A20:C20"/>
  </mergeCells>
  <conditionalFormatting sqref="G3:G8">
    <cfRule type="containsText" dxfId="3" priority="1" operator="containsText" text="Low">
      <formula>NOT(ISERROR(SEARCH("Low",G3)))</formula>
    </cfRule>
    <cfRule type="containsText" dxfId="2" priority="2" operator="containsText" text="Moderate">
      <formula>NOT(ISERROR(SEARCH("Moderate",G3)))</formula>
    </cfRule>
    <cfRule type="containsText" dxfId="1" priority="3" operator="containsText" text="High OT">
      <formula>NOT(ISERROR(SEARCH("High OT",G3)))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AE6B-B00B-D24E-9FD0-A461987D99F0}">
  <dimension ref="A1:G40"/>
  <sheetViews>
    <sheetView workbookViewId="0">
      <selection activeCell="E12" sqref="E12"/>
    </sheetView>
  </sheetViews>
  <sheetFormatPr baseColWidth="10" defaultRowHeight="16" x14ac:dyDescent="0.2"/>
  <cols>
    <col min="1" max="1" width="11.33203125" bestFit="1" customWidth="1"/>
    <col min="2" max="2" width="14.83203125" bestFit="1" customWidth="1"/>
    <col min="3" max="3" width="10.6640625" bestFit="1" customWidth="1"/>
    <col min="4" max="4" width="18.33203125" bestFit="1" customWidth="1"/>
    <col min="5" max="5" width="20.5" bestFit="1" customWidth="1"/>
    <col min="6" max="6" width="12.33203125" bestFit="1" customWidth="1"/>
    <col min="7" max="7" width="8.6640625" bestFit="1" customWidth="1"/>
  </cols>
  <sheetData>
    <row r="1" spans="1:7" x14ac:dyDescent="0.2">
      <c r="A1" s="24" t="s">
        <v>76</v>
      </c>
      <c r="B1" s="24"/>
      <c r="C1" s="24"/>
      <c r="D1" s="24"/>
    </row>
    <row r="2" spans="1:7" x14ac:dyDescent="0.2">
      <c r="A2" s="2" t="s">
        <v>3</v>
      </c>
      <c r="B2" s="2" t="s">
        <v>71</v>
      </c>
      <c r="C2" s="2" t="s">
        <v>72</v>
      </c>
      <c r="D2" s="2" t="s">
        <v>73</v>
      </c>
    </row>
    <row r="3" spans="1:7" x14ac:dyDescent="0.2">
      <c r="A3" t="s">
        <v>9</v>
      </c>
      <c r="B3" t="s">
        <v>74</v>
      </c>
      <c r="C3">
        <v>4.03</v>
      </c>
      <c r="D3">
        <v>3</v>
      </c>
    </row>
    <row r="4" spans="1:7" x14ac:dyDescent="0.2">
      <c r="A4" t="s">
        <v>9</v>
      </c>
      <c r="B4" t="s">
        <v>75</v>
      </c>
      <c r="C4">
        <v>4.2699999999999996</v>
      </c>
      <c r="D4">
        <v>3</v>
      </c>
    </row>
    <row r="5" spans="1:7" x14ac:dyDescent="0.2">
      <c r="A5" t="s">
        <v>11</v>
      </c>
      <c r="B5" t="s">
        <v>74</v>
      </c>
      <c r="C5">
        <v>3.75</v>
      </c>
      <c r="D5">
        <v>2</v>
      </c>
    </row>
    <row r="6" spans="1:7" x14ac:dyDescent="0.2">
      <c r="A6" t="s">
        <v>11</v>
      </c>
      <c r="B6" t="s">
        <v>75</v>
      </c>
      <c r="C6">
        <v>4</v>
      </c>
      <c r="D6">
        <v>2</v>
      </c>
    </row>
    <row r="7" spans="1:7" x14ac:dyDescent="0.2">
      <c r="A7" t="s">
        <v>12</v>
      </c>
      <c r="B7" t="s">
        <v>74</v>
      </c>
      <c r="C7">
        <v>4</v>
      </c>
      <c r="D7">
        <v>2</v>
      </c>
    </row>
    <row r="8" spans="1:7" x14ac:dyDescent="0.2">
      <c r="A8" t="s">
        <v>12</v>
      </c>
      <c r="B8" t="s">
        <v>75</v>
      </c>
      <c r="C8">
        <v>4.2</v>
      </c>
      <c r="D8">
        <v>2</v>
      </c>
    </row>
    <row r="9" spans="1:7" x14ac:dyDescent="0.2">
      <c r="A9" t="s">
        <v>13</v>
      </c>
      <c r="B9" t="s">
        <v>74</v>
      </c>
      <c r="C9">
        <v>3.58</v>
      </c>
      <c r="D9">
        <v>4</v>
      </c>
    </row>
    <row r="10" spans="1:7" x14ac:dyDescent="0.2">
      <c r="A10" t="s">
        <v>13</v>
      </c>
      <c r="B10" t="s">
        <v>75</v>
      </c>
      <c r="C10">
        <v>3.83</v>
      </c>
      <c r="D10">
        <v>4</v>
      </c>
    </row>
    <row r="11" spans="1:7" x14ac:dyDescent="0.2">
      <c r="A11" t="s">
        <v>15</v>
      </c>
      <c r="B11" t="s">
        <v>74</v>
      </c>
      <c r="C11">
        <v>3.8</v>
      </c>
      <c r="D11">
        <v>3</v>
      </c>
    </row>
    <row r="12" spans="1:7" x14ac:dyDescent="0.2">
      <c r="A12" t="s">
        <v>15</v>
      </c>
      <c r="B12" t="s">
        <v>75</v>
      </c>
      <c r="C12">
        <v>4.07</v>
      </c>
      <c r="D12">
        <v>3</v>
      </c>
    </row>
    <row r="16" spans="1:7" x14ac:dyDescent="0.2">
      <c r="A16" s="24" t="s">
        <v>77</v>
      </c>
      <c r="B16" s="24"/>
      <c r="C16" s="24"/>
      <c r="D16" s="24"/>
      <c r="E16" s="24"/>
      <c r="F16" s="24"/>
      <c r="G16" s="24"/>
    </row>
    <row r="17" spans="1:7" x14ac:dyDescent="0.2">
      <c r="A17" s="2" t="s">
        <v>16</v>
      </c>
      <c r="B17" s="2" t="s">
        <v>17</v>
      </c>
      <c r="C17" s="2" t="s">
        <v>3</v>
      </c>
      <c r="D17" s="2" t="s">
        <v>33</v>
      </c>
      <c r="E17" s="2" t="s">
        <v>34</v>
      </c>
      <c r="F17" s="2" t="s">
        <v>35</v>
      </c>
      <c r="G17" s="2" t="s">
        <v>36</v>
      </c>
    </row>
    <row r="18" spans="1:7" x14ac:dyDescent="0.2">
      <c r="A18">
        <v>1006</v>
      </c>
      <c r="B18" t="s">
        <v>30</v>
      </c>
      <c r="C18" t="s">
        <v>13</v>
      </c>
      <c r="D18" s="11">
        <v>3.9</v>
      </c>
      <c r="E18" s="11">
        <v>4.3</v>
      </c>
      <c r="F18" s="20">
        <v>0.4</v>
      </c>
      <c r="G18" t="s">
        <v>37</v>
      </c>
    </row>
    <row r="19" spans="1:7" x14ac:dyDescent="0.2">
      <c r="A19">
        <v>1002</v>
      </c>
      <c r="B19" t="s">
        <v>24</v>
      </c>
      <c r="C19" t="s">
        <v>15</v>
      </c>
      <c r="D19" s="11">
        <v>3.8</v>
      </c>
      <c r="E19" s="11">
        <v>4.0999999999999996</v>
      </c>
      <c r="F19" s="20">
        <v>0.3</v>
      </c>
      <c r="G19" t="s">
        <v>37</v>
      </c>
    </row>
    <row r="20" spans="1:7" x14ac:dyDescent="0.2">
      <c r="A20">
        <v>1004</v>
      </c>
      <c r="B20" t="s">
        <v>38</v>
      </c>
      <c r="C20" t="s">
        <v>15</v>
      </c>
      <c r="D20" s="11">
        <v>3.2</v>
      </c>
      <c r="E20" s="11">
        <v>3.5</v>
      </c>
      <c r="F20" s="20">
        <v>0.3</v>
      </c>
      <c r="G20" t="s">
        <v>37</v>
      </c>
    </row>
    <row r="21" spans="1:7" x14ac:dyDescent="0.2">
      <c r="A21">
        <v>1010</v>
      </c>
      <c r="B21" t="s">
        <v>26</v>
      </c>
      <c r="C21" t="s">
        <v>9</v>
      </c>
      <c r="D21" s="11">
        <v>3.6</v>
      </c>
      <c r="E21" s="11">
        <v>3.9</v>
      </c>
      <c r="F21" s="20">
        <v>0.3</v>
      </c>
      <c r="G21" t="s">
        <v>37</v>
      </c>
    </row>
    <row r="22" spans="1:7" x14ac:dyDescent="0.2">
      <c r="A22">
        <v>1015</v>
      </c>
      <c r="B22" t="s">
        <v>39</v>
      </c>
      <c r="C22" t="s">
        <v>11</v>
      </c>
      <c r="D22" s="11">
        <v>3.3</v>
      </c>
      <c r="E22" s="11">
        <v>3.6</v>
      </c>
      <c r="F22" s="20">
        <v>0.3</v>
      </c>
      <c r="G22" t="s">
        <v>37</v>
      </c>
    </row>
    <row r="23" spans="1:7" x14ac:dyDescent="0.2">
      <c r="A23">
        <v>1003</v>
      </c>
      <c r="B23" t="s">
        <v>23</v>
      </c>
      <c r="C23" t="s">
        <v>15</v>
      </c>
      <c r="D23" s="11">
        <v>4.4000000000000004</v>
      </c>
      <c r="E23" s="11">
        <v>4.5999999999999996</v>
      </c>
      <c r="F23" s="20">
        <v>0.2</v>
      </c>
      <c r="G23" t="s">
        <v>37</v>
      </c>
    </row>
    <row r="24" spans="1:7" x14ac:dyDescent="0.2">
      <c r="A24">
        <v>1005</v>
      </c>
      <c r="B24" t="s">
        <v>40</v>
      </c>
      <c r="C24" t="s">
        <v>13</v>
      </c>
      <c r="D24" s="11">
        <v>4</v>
      </c>
      <c r="E24" s="11">
        <v>4.2</v>
      </c>
      <c r="F24" s="20">
        <v>0.2</v>
      </c>
      <c r="G24" t="s">
        <v>37</v>
      </c>
    </row>
    <row r="25" spans="1:7" x14ac:dyDescent="0.2">
      <c r="A25">
        <v>1007</v>
      </c>
      <c r="B25" t="s">
        <v>25</v>
      </c>
      <c r="C25" t="s">
        <v>13</v>
      </c>
      <c r="D25" s="11">
        <v>3.5</v>
      </c>
      <c r="E25" s="11">
        <v>3.7</v>
      </c>
      <c r="F25" s="20">
        <v>0.2</v>
      </c>
      <c r="G25" t="s">
        <v>37</v>
      </c>
    </row>
    <row r="26" spans="1:7" x14ac:dyDescent="0.2">
      <c r="A26">
        <v>1008</v>
      </c>
      <c r="B26" t="s">
        <v>41</v>
      </c>
      <c r="C26" t="s">
        <v>13</v>
      </c>
      <c r="D26" s="11">
        <v>2.9</v>
      </c>
      <c r="E26" s="11">
        <v>3.1</v>
      </c>
      <c r="F26" s="20">
        <v>0.2</v>
      </c>
      <c r="G26" t="s">
        <v>37</v>
      </c>
    </row>
    <row r="27" spans="1:7" x14ac:dyDescent="0.2">
      <c r="A27">
        <v>1009</v>
      </c>
      <c r="B27" t="s">
        <v>42</v>
      </c>
      <c r="C27" t="s">
        <v>9</v>
      </c>
      <c r="D27" s="11">
        <v>4.5</v>
      </c>
      <c r="E27" s="11">
        <v>4.7</v>
      </c>
      <c r="F27" s="20">
        <v>0.2</v>
      </c>
      <c r="G27" t="s">
        <v>37</v>
      </c>
    </row>
    <row r="28" spans="1:7" x14ac:dyDescent="0.2">
      <c r="A28">
        <v>1011</v>
      </c>
      <c r="B28" t="s">
        <v>31</v>
      </c>
      <c r="C28" t="s">
        <v>9</v>
      </c>
      <c r="D28" s="11">
        <v>4</v>
      </c>
      <c r="E28" s="11">
        <v>4.2</v>
      </c>
      <c r="F28" s="20">
        <v>0.2</v>
      </c>
      <c r="G28" t="s">
        <v>37</v>
      </c>
    </row>
    <row r="29" spans="1:7" x14ac:dyDescent="0.2">
      <c r="A29">
        <v>1012</v>
      </c>
      <c r="B29" t="s">
        <v>43</v>
      </c>
      <c r="C29" t="s">
        <v>12</v>
      </c>
      <c r="D29" s="11">
        <v>4.3</v>
      </c>
      <c r="E29" s="11">
        <v>4.5</v>
      </c>
      <c r="F29" s="20">
        <v>0.2</v>
      </c>
      <c r="G29" t="s">
        <v>37</v>
      </c>
    </row>
    <row r="30" spans="1:7" x14ac:dyDescent="0.2">
      <c r="A30">
        <v>1013</v>
      </c>
      <c r="B30" t="s">
        <v>44</v>
      </c>
      <c r="C30" t="s">
        <v>12</v>
      </c>
      <c r="D30" s="11">
        <v>3.7</v>
      </c>
      <c r="E30" s="11">
        <v>3.9</v>
      </c>
      <c r="F30" s="20">
        <v>0.2</v>
      </c>
      <c r="G30" t="s">
        <v>37</v>
      </c>
    </row>
    <row r="31" spans="1:7" x14ac:dyDescent="0.2">
      <c r="A31">
        <v>1014</v>
      </c>
      <c r="B31" t="s">
        <v>45</v>
      </c>
      <c r="C31" t="s">
        <v>11</v>
      </c>
      <c r="D31" s="11">
        <v>4.2</v>
      </c>
      <c r="E31" s="11">
        <v>4.4000000000000004</v>
      </c>
      <c r="F31" s="20">
        <v>0.2</v>
      </c>
      <c r="G31" t="s">
        <v>37</v>
      </c>
    </row>
    <row r="35" spans="1:5" x14ac:dyDescent="0.2">
      <c r="A35" s="24" t="s">
        <v>79</v>
      </c>
      <c r="B35" s="24"/>
      <c r="C35" s="24"/>
      <c r="D35" s="24"/>
      <c r="E35" s="24"/>
    </row>
    <row r="36" spans="1:5" x14ac:dyDescent="0.2">
      <c r="A36" s="2" t="s">
        <v>16</v>
      </c>
      <c r="B36" s="2" t="s">
        <v>17</v>
      </c>
      <c r="C36" s="2" t="s">
        <v>3</v>
      </c>
      <c r="D36" s="2" t="s">
        <v>22</v>
      </c>
      <c r="E36" s="2" t="s">
        <v>78</v>
      </c>
    </row>
    <row r="37" spans="1:5" x14ac:dyDescent="0.2">
      <c r="A37">
        <v>1003</v>
      </c>
      <c r="B37" t="s">
        <v>23</v>
      </c>
      <c r="C37" t="s">
        <v>15</v>
      </c>
      <c r="D37" s="11">
        <v>66.7</v>
      </c>
      <c r="E37" s="11">
        <v>4.5</v>
      </c>
    </row>
    <row r="38" spans="1:5" x14ac:dyDescent="0.2">
      <c r="A38">
        <v>1002</v>
      </c>
      <c r="B38" t="s">
        <v>24</v>
      </c>
      <c r="C38" t="s">
        <v>15</v>
      </c>
      <c r="D38" s="11">
        <v>80</v>
      </c>
      <c r="E38" s="11">
        <v>3.95</v>
      </c>
    </row>
    <row r="39" spans="1:5" x14ac:dyDescent="0.2">
      <c r="A39">
        <v>1007</v>
      </c>
      <c r="B39" t="s">
        <v>25</v>
      </c>
      <c r="C39" t="s">
        <v>13</v>
      </c>
      <c r="D39" s="11">
        <v>93.33</v>
      </c>
      <c r="E39" s="11">
        <v>3.6</v>
      </c>
    </row>
    <row r="40" spans="1:5" x14ac:dyDescent="0.2">
      <c r="A40">
        <v>1010</v>
      </c>
      <c r="B40" t="s">
        <v>26</v>
      </c>
      <c r="C40" t="s">
        <v>9</v>
      </c>
      <c r="D40" s="11">
        <v>100</v>
      </c>
      <c r="E40" s="11">
        <v>3.75</v>
      </c>
    </row>
  </sheetData>
  <mergeCells count="3">
    <mergeCell ref="A1:D1"/>
    <mergeCell ref="A16:G16"/>
    <mergeCell ref="A35:E35"/>
  </mergeCells>
  <conditionalFormatting sqref="F18:F31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83E5-D1CE-AC49-9F8B-F8494394AFC5}">
  <dimension ref="A1:Q169"/>
  <sheetViews>
    <sheetView showGridLines="0" tabSelected="1" workbookViewId="0">
      <selection activeCell="R17" sqref="R17"/>
    </sheetView>
  </sheetViews>
  <sheetFormatPr baseColWidth="10" defaultRowHeight="16" x14ac:dyDescent="0.2"/>
  <cols>
    <col min="1" max="7" width="10.83203125" customWidth="1"/>
    <col min="17" max="17" width="18.6640625" bestFit="1" customWidth="1"/>
  </cols>
  <sheetData>
    <row r="1" spans="1:17" ht="35" customHeight="1" x14ac:dyDescent="0.25">
      <c r="A1" s="30" t="s">
        <v>83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1" t="str">
        <f ca="1">"Last Updated: " &amp; TEXT(TODAY(), "MM/DD/YYYY")</f>
        <v>Last Updated: 05/24/2026</v>
      </c>
    </row>
    <row r="2" spans="1:17" ht="20" customHeight="1" thickBot="1" x14ac:dyDescent="0.25"/>
    <row r="3" spans="1:17" ht="20" customHeight="1" thickTop="1" x14ac:dyDescent="0.2">
      <c r="A3" s="31" t="s">
        <v>84</v>
      </c>
      <c r="B3" s="32"/>
      <c r="C3" s="33"/>
      <c r="D3" s="31" t="s">
        <v>85</v>
      </c>
      <c r="E3" s="32"/>
      <c r="F3" s="33"/>
      <c r="G3" s="31" t="s">
        <v>86</v>
      </c>
      <c r="H3" s="32"/>
      <c r="I3" s="33"/>
      <c r="J3" s="31" t="s">
        <v>87</v>
      </c>
      <c r="K3" s="32"/>
      <c r="L3" s="33"/>
      <c r="M3" s="31" t="s">
        <v>88</v>
      </c>
      <c r="N3" s="32"/>
      <c r="O3" s="33"/>
    </row>
    <row r="4" spans="1:17" ht="20" customHeight="1" thickBot="1" x14ac:dyDescent="0.25">
      <c r="A4" s="27">
        <v>15</v>
      </c>
      <c r="B4" s="28"/>
      <c r="C4" s="29"/>
      <c r="D4" s="34">
        <f>AVERAGE(D165:D169)</f>
        <v>60.966666666666669</v>
      </c>
      <c r="E4" s="35"/>
      <c r="F4" s="36"/>
      <c r="G4" s="34">
        <f>AVERAGE(Performance!C3:C12)</f>
        <v>3.9529999999999994</v>
      </c>
      <c r="H4" s="28"/>
      <c r="I4" s="29"/>
      <c r="J4" s="27">
        <f>SUM(Overtime!F3:F8)</f>
        <v>2874.76</v>
      </c>
      <c r="K4" s="28"/>
      <c r="L4" s="29"/>
      <c r="M4" s="27">
        <v>5</v>
      </c>
      <c r="N4" s="28"/>
      <c r="O4" s="29"/>
    </row>
    <row r="5" spans="1:17" ht="20" customHeight="1" thickTop="1" x14ac:dyDescent="0.2"/>
    <row r="6" spans="1:17" ht="20" customHeight="1" x14ac:dyDescent="0.2"/>
    <row r="7" spans="1:17" ht="20" customHeight="1" x14ac:dyDescent="0.2"/>
    <row r="8" spans="1:17" ht="20" customHeight="1" x14ac:dyDescent="0.2"/>
    <row r="9" spans="1:17" ht="20" customHeight="1" x14ac:dyDescent="0.2">
      <c r="C9" s="22"/>
    </row>
    <row r="10" spans="1:17" ht="20" customHeight="1" x14ac:dyDescent="0.2"/>
    <row r="11" spans="1:17" ht="20" customHeight="1" x14ac:dyDescent="0.2"/>
    <row r="12" spans="1:17" ht="20" customHeight="1" x14ac:dyDescent="0.2"/>
    <row r="13" spans="1:17" ht="20" customHeight="1" x14ac:dyDescent="0.2"/>
    <row r="14" spans="1:17" ht="20" customHeight="1" x14ac:dyDescent="0.2"/>
    <row r="15" spans="1:17" ht="20" customHeight="1" x14ac:dyDescent="0.2"/>
    <row r="16" spans="1:17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  <row r="48" ht="20" customHeight="1" x14ac:dyDescent="0.2"/>
    <row r="49" ht="20" customHeight="1" x14ac:dyDescent="0.2"/>
    <row r="50" ht="20" customHeight="1" x14ac:dyDescent="0.2"/>
    <row r="51" ht="20" customHeight="1" x14ac:dyDescent="0.2"/>
    <row r="52" ht="20" customHeight="1" x14ac:dyDescent="0.2"/>
    <row r="53" ht="20" customHeight="1" x14ac:dyDescent="0.2"/>
    <row r="54" ht="20" customHeight="1" x14ac:dyDescent="0.2"/>
    <row r="55" ht="20" customHeight="1" x14ac:dyDescent="0.2"/>
    <row r="56" ht="20" customHeight="1" x14ac:dyDescent="0.2"/>
    <row r="57" ht="20" customHeight="1" x14ac:dyDescent="0.2"/>
    <row r="58" ht="20" customHeight="1" x14ac:dyDescent="0.2"/>
    <row r="59" ht="20" customHeight="1" x14ac:dyDescent="0.2"/>
    <row r="60" ht="20" customHeight="1" x14ac:dyDescent="0.2"/>
    <row r="164" spans="1:6" x14ac:dyDescent="0.2">
      <c r="A164" t="s">
        <v>3</v>
      </c>
      <c r="B164" t="s">
        <v>5</v>
      </c>
      <c r="C164" t="s">
        <v>6</v>
      </c>
      <c r="D164" t="s">
        <v>80</v>
      </c>
      <c r="E164" t="s">
        <v>81</v>
      </c>
      <c r="F164" t="s">
        <v>28</v>
      </c>
    </row>
    <row r="165" spans="1:6" x14ac:dyDescent="0.2">
      <c r="A165" t="s">
        <v>9</v>
      </c>
      <c r="B165">
        <v>3</v>
      </c>
      <c r="C165">
        <v>24.27</v>
      </c>
      <c r="D165">
        <v>60</v>
      </c>
      <c r="E165">
        <v>3.78</v>
      </c>
      <c r="F165">
        <v>386</v>
      </c>
    </row>
    <row r="166" spans="1:6" x14ac:dyDescent="0.2">
      <c r="A166" t="s">
        <v>11</v>
      </c>
      <c r="B166">
        <v>2</v>
      </c>
      <c r="C166">
        <v>30.25</v>
      </c>
      <c r="D166" t="s">
        <v>82</v>
      </c>
      <c r="E166">
        <v>3.88</v>
      </c>
      <c r="F166" t="s">
        <v>82</v>
      </c>
    </row>
    <row r="167" spans="1:6" x14ac:dyDescent="0.2">
      <c r="A167" t="s">
        <v>12</v>
      </c>
      <c r="B167">
        <v>2</v>
      </c>
      <c r="C167">
        <v>27</v>
      </c>
      <c r="D167" t="s">
        <v>82</v>
      </c>
      <c r="E167">
        <v>4.0999999999999996</v>
      </c>
      <c r="F167" t="s">
        <v>82</v>
      </c>
    </row>
    <row r="168" spans="1:6" x14ac:dyDescent="0.2">
      <c r="A168" t="s">
        <v>13</v>
      </c>
      <c r="B168">
        <v>4</v>
      </c>
      <c r="C168">
        <v>18.899999999999999</v>
      </c>
      <c r="D168">
        <v>60</v>
      </c>
      <c r="E168">
        <v>3.63</v>
      </c>
      <c r="F168">
        <v>677</v>
      </c>
    </row>
    <row r="169" spans="1:6" x14ac:dyDescent="0.2">
      <c r="A169" t="s">
        <v>15</v>
      </c>
      <c r="B169">
        <v>4</v>
      </c>
      <c r="C169">
        <v>21.86</v>
      </c>
      <c r="D169">
        <v>62.9</v>
      </c>
      <c r="E169">
        <v>4.18</v>
      </c>
      <c r="F169">
        <v>855</v>
      </c>
    </row>
  </sheetData>
  <sheetProtection sheet="1" objects="1" scenarios="1"/>
  <mergeCells count="11">
    <mergeCell ref="M4:O4"/>
    <mergeCell ref="A1:P1"/>
    <mergeCell ref="A3:C3"/>
    <mergeCell ref="A4:C4"/>
    <mergeCell ref="D3:F3"/>
    <mergeCell ref="G3:I3"/>
    <mergeCell ref="J3:L3"/>
    <mergeCell ref="M3:O3"/>
    <mergeCell ref="D4:F4"/>
    <mergeCell ref="G4:I4"/>
    <mergeCell ref="J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Raw Data</vt:lpstr>
      <vt:lpstr>Debt Summary</vt:lpstr>
      <vt:lpstr>Attendance KPIs</vt:lpstr>
      <vt:lpstr>Overtime</vt:lpstr>
      <vt:lpstr>Performance</vt:lpstr>
      <vt:lpstr>Summary Dashboard</vt:lpstr>
      <vt:lpstr>'Attendance KPIs'!attendance_monthly</vt:lpstr>
      <vt:lpstr>'Attendance KPIs'!attendance_summary</vt:lpstr>
      <vt:lpstr>'Raw Data'!attendance_summary</vt:lpstr>
      <vt:lpstr>Performance!attendance_vs_performance</vt:lpstr>
      <vt:lpstr>'Debt Summary'!dept_headcount</vt:lpstr>
      <vt:lpstr>'Raw Data'!dept_headcount</vt:lpstr>
      <vt:lpstr>'Debt Summary'!dept_payroll</vt:lpstr>
      <vt:lpstr>'Summary Dashboard'!executive_rollup_1</vt:lpstr>
      <vt:lpstr>Overtime!overtime_departments</vt:lpstr>
      <vt:lpstr>Overtime!overtime_employees</vt:lpstr>
      <vt:lpstr>'Raw Data'!overtime_employees</vt:lpstr>
      <vt:lpstr>Overtime!overtime_weekly</vt:lpstr>
      <vt:lpstr>Performance!performance_changes</vt:lpstr>
      <vt:lpstr>'Raw Data'!performance_changes</vt:lpstr>
      <vt:lpstr>Performance!performance_dept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Hamad</dc:creator>
  <cp:lastModifiedBy>Yousef Hamad</cp:lastModifiedBy>
  <dcterms:created xsi:type="dcterms:W3CDTF">2026-05-22T15:07:04Z</dcterms:created>
  <dcterms:modified xsi:type="dcterms:W3CDTF">2026-05-24T18:01:36Z</dcterms:modified>
</cp:coreProperties>
</file>